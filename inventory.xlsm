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F:\7excel\project\"/>
    </mc:Choice>
  </mc:AlternateContent>
  <bookViews>
    <workbookView xWindow="-120" yWindow="-120" windowWidth="20730" windowHeight="11160"/>
  </bookViews>
  <sheets>
    <sheet name="Entry" sheetId="1" r:id="rId1"/>
    <sheet name="Purchase" sheetId="2" r:id="rId2"/>
    <sheet name="Sales" sheetId="3" r:id="rId3"/>
    <sheet name="Return" sheetId="7" r:id="rId4"/>
    <sheet name="Stock" sheetId="4" r:id="rId5"/>
    <sheet name="Sheet2" sheetId="6" state="hidden" r:id="rId6"/>
  </sheets>
  <definedNames>
    <definedName name="_xlnm._FilterDatabase" localSheetId="1" hidden="1">Purchase!$F:$F</definedName>
    <definedName name="Amount">(Entry!$C$11*Entry!$C$12)</definedName>
    <definedName name="CGST_9">IFERROR(IF(Entry!$C$14="","",Entry!$C$13*(Entry!$C$14/Entry!$G$15)/Entry!$H$15),"")</definedName>
    <definedName name="_xlnm.Criteria" localSheetId="4">Stock!$H$5:$H$6</definedName>
    <definedName name="_xlnm.Extract" localSheetId="4">Stock!$A$1</definedName>
    <definedName name="IGST">IFERROR(IF(Entry!$C$17="","",(Entry!$C$13*Entry!A1048576)/Entry!$H$15),"")</definedName>
    <definedName name="Net_Amount">IFERROR(IF(OR(Entry!$C$14="-",Entry!$C$14=""),Entry!$C$13+(Entry!$C$13*Entry!$C$17/Entry!$H$15),(Entry!$C$13+Entry!$C$15+Entry!$C$16)),"")</definedName>
    <definedName name="Product_code">Sheet2!$A$2:$A$11</definedName>
    <definedName name="Product_Name">Sheet2!$B$3:$B$11</definedName>
    <definedName name="SGST_9">IFERROR(IF(Entry!$C$14="","",Entry!$C$13*(Entry!$C$14/Entry!$G$15)/Entry!$H$15),"")</definedName>
    <definedName name="stock_product_name1">IFERROR(IF(Stock!$A1="","",VLOOKUP(Stock!$A1,Purchase!$F:$G,COLUMNS(Stock!J$1:K$1),0)),"")</definedName>
    <definedName name="Stock_purchase_qty">IFERROR(SUMIFS(Purchase!$H:$H,Purchase!$F:$F,Stock!$A1,Purchase!$G:$G,Stock!$B1),"")</definedName>
    <definedName name="Stock_remaining_qty">IFERROR(Stock!$C1-(Stock!$D1-Stock!$E1),"")</definedName>
    <definedName name="Stock_Return_Qty">IFERROR(SUMIFS(Return!$H:$H,Return!$F:$F,Stock!$A1,Return!$G:$G,Stock!$B1),"")</definedName>
    <definedName name="Stock_sale_qty">IFERROR(SUMIFS(Sales!$H:$H,Sales!$F:$F,Stock!$A1,Sales!$G:$G,Stock!$B1),"")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4" l="1" a="1"/>
  <c r="B2" i="4" s="1"/>
  <c r="D2" i="4" s="1" a="1"/>
  <c r="D2" i="4" s="1"/>
  <c r="B3" i="4" a="1"/>
  <c r="B3" i="4" s="1"/>
  <c r="B4" i="4" a="1"/>
  <c r="B4" i="4" s="1"/>
  <c r="E4" i="4" s="1" a="1"/>
  <c r="E4" i="4" s="1"/>
  <c r="B5" i="4" a="1"/>
  <c r="B5" i="4" s="1"/>
  <c r="B6" i="4" a="1"/>
  <c r="B6" i="4" s="1"/>
  <c r="E6" i="4" s="1" a="1"/>
  <c r="E6" i="4" s="1"/>
  <c r="B7" i="4" a="1"/>
  <c r="B7" i="4"/>
  <c r="E7" i="4" s="1" a="1"/>
  <c r="E7" i="4" s="1"/>
  <c r="B8" i="4" a="1"/>
  <c r="B8" i="4" s="1"/>
  <c r="D8" i="4" s="1" a="1"/>
  <c r="D8" i="4" s="1"/>
  <c r="B9" i="4" a="1"/>
  <c r="B9" i="4" s="1"/>
  <c r="E9" i="4" s="1" a="1"/>
  <c r="E9" i="4" s="1"/>
  <c r="B10" i="4" a="1"/>
  <c r="B10" i="4" s="1"/>
  <c r="D10" i="4" s="1" a="1"/>
  <c r="D10" i="4" s="1"/>
  <c r="B11" i="4" a="1"/>
  <c r="B11" i="4" s="1"/>
  <c r="B12" i="4" a="1"/>
  <c r="B12" i="4" s="1"/>
  <c r="E12" i="4" s="1" a="1"/>
  <c r="E12" i="4" s="1"/>
  <c r="B13" i="4" a="1"/>
  <c r="B13" i="4" s="1"/>
  <c r="B14" i="4" a="1"/>
  <c r="B14" i="4" s="1"/>
  <c r="E14" i="4" s="1" a="1"/>
  <c r="E14" i="4" s="1"/>
  <c r="B15" i="4" a="1"/>
  <c r="B15" i="4" s="1"/>
  <c r="E15" i="4" s="1" a="1"/>
  <c r="E15" i="4" s="1"/>
  <c r="B16" i="4" a="1"/>
  <c r="B16" i="4" s="1"/>
  <c r="E16" i="4" s="1" a="1"/>
  <c r="E16" i="4" s="1"/>
  <c r="H6" i="4"/>
  <c r="E2" i="4" l="1" a="1"/>
  <c r="E2" i="4" s="1"/>
  <c r="C2" i="4" a="1"/>
  <c r="C2" i="4" s="1"/>
  <c r="D12" i="4" a="1"/>
  <c r="D12" i="4" s="1"/>
  <c r="C8" i="4" a="1"/>
  <c r="C8" i="4" s="1"/>
  <c r="D6" i="4" a="1"/>
  <c r="D6" i="4" s="1"/>
  <c r="D15" i="4" a="1"/>
  <c r="D15" i="4" s="1"/>
  <c r="D4" i="4" a="1"/>
  <c r="D4" i="4" s="1"/>
  <c r="D14" i="4" a="1"/>
  <c r="D14" i="4" s="1"/>
  <c r="E8" i="4" a="1"/>
  <c r="E8" i="4" s="1"/>
  <c r="D13" i="4" a="1"/>
  <c r="D13" i="4" s="1"/>
  <c r="C13" i="4" a="1"/>
  <c r="C13" i="4" s="1"/>
  <c r="E13" i="4" a="1"/>
  <c r="E13" i="4" s="1"/>
  <c r="E3" i="4" a="1"/>
  <c r="E3" i="4" s="1"/>
  <c r="D3" i="4" a="1"/>
  <c r="D3" i="4" s="1"/>
  <c r="C3" i="4" a="1"/>
  <c r="C3" i="4" s="1"/>
  <c r="E11" i="4" a="1"/>
  <c r="E11" i="4" s="1"/>
  <c r="C11" i="4" a="1"/>
  <c r="C11" i="4" s="1"/>
  <c r="D11" i="4" a="1"/>
  <c r="D11" i="4" s="1"/>
  <c r="D5" i="4" a="1"/>
  <c r="D5" i="4" s="1"/>
  <c r="C5" i="4" a="1"/>
  <c r="C5" i="4" s="1"/>
  <c r="E5" i="4" a="1"/>
  <c r="E5" i="4" s="1"/>
  <c r="D7" i="4" a="1"/>
  <c r="D7" i="4" s="1"/>
  <c r="E10" i="4" a="1"/>
  <c r="E10" i="4" s="1"/>
  <c r="C16" i="4" a="1"/>
  <c r="C16" i="4" s="1"/>
  <c r="C10" i="4" a="1"/>
  <c r="C10" i="4" s="1"/>
  <c r="C15" i="4" a="1"/>
  <c r="C15" i="4" s="1"/>
  <c r="C12" i="4" a="1"/>
  <c r="C12" i="4" s="1"/>
  <c r="C7" i="4" a="1"/>
  <c r="C7" i="4" s="1"/>
  <c r="C4" i="4" a="1"/>
  <c r="C4" i="4" s="1"/>
  <c r="D16" i="4" a="1"/>
  <c r="D16" i="4" s="1"/>
  <c r="D9" i="4" a="1"/>
  <c r="D9" i="4" s="1"/>
  <c r="C14" i="4" a="1"/>
  <c r="C14" i="4" s="1"/>
  <c r="C9" i="4" a="1"/>
  <c r="C9" i="4" s="1"/>
  <c r="C6" i="4" a="1"/>
  <c r="C6" i="4" s="1"/>
  <c r="F6" i="1"/>
  <c r="C10" i="1"/>
  <c r="G6" i="1" s="1"/>
  <c r="H6" i="1" s="1"/>
  <c r="C13" i="1" a="1"/>
  <c r="C13" i="1" s="1"/>
  <c r="C15" i="1" s="1" a="1"/>
  <c r="C15" i="1" s="1"/>
  <c r="B16" i="1"/>
  <c r="B15" i="1"/>
  <c r="B14" i="1"/>
  <c r="F6" i="4" l="1" a="1"/>
  <c r="F6" i="4" s="1"/>
  <c r="F2" i="4" a="1"/>
  <c r="F2" i="4" s="1"/>
  <c r="F9" i="4" a="1"/>
  <c r="F9" i="4" s="1"/>
  <c r="F7" i="4" a="1"/>
  <c r="F7" i="4" s="1"/>
  <c r="F4" i="4" a="1"/>
  <c r="F4" i="4" s="1"/>
  <c r="F3" i="4" a="1"/>
  <c r="F3" i="4" s="1"/>
  <c r="F12" i="4" a="1"/>
  <c r="F12" i="4" s="1"/>
  <c r="F8" i="4" a="1"/>
  <c r="F8" i="4" s="1"/>
  <c r="F14" i="4" a="1"/>
  <c r="F14" i="4" s="1"/>
  <c r="F10" i="4" a="1"/>
  <c r="F10" i="4" s="1"/>
  <c r="F15" i="4" a="1"/>
  <c r="F15" i="4" s="1"/>
  <c r="F11" i="4" a="1"/>
  <c r="F11" i="4" s="1"/>
  <c r="F13" i="4" a="1"/>
  <c r="F13" i="4" s="1"/>
  <c r="F5" i="4" a="1"/>
  <c r="F5" i="4" s="1"/>
  <c r="F16" i="4" a="1"/>
  <c r="F16" i="4" s="1"/>
  <c r="B29" i="4" a="1"/>
  <c r="B29" i="4" s="1"/>
  <c r="B21" i="4" a="1"/>
  <c r="B21" i="4" s="1"/>
  <c r="B26" i="4" a="1"/>
  <c r="B26" i="4" s="1"/>
  <c r="B18" i="4" a="1"/>
  <c r="B18" i="4" s="1"/>
  <c r="B28" i="4" a="1"/>
  <c r="B28" i="4" s="1"/>
  <c r="B23" i="4" a="1"/>
  <c r="B23" i="4" s="1"/>
  <c r="B20" i="4" a="1"/>
  <c r="B20" i="4" s="1"/>
  <c r="B30" i="4" a="1"/>
  <c r="B30" i="4" s="1"/>
  <c r="B25" i="4" a="1"/>
  <c r="B25" i="4" s="1"/>
  <c r="B22" i="4" a="1"/>
  <c r="B22" i="4" s="1"/>
  <c r="B17" i="4" a="1"/>
  <c r="B17" i="4" s="1"/>
  <c r="B27" i="4" a="1"/>
  <c r="B27" i="4" s="1"/>
  <c r="B24" i="4" a="1"/>
  <c r="B24" i="4" s="1"/>
  <c r="B19" i="4" a="1"/>
  <c r="B19" i="4" s="1"/>
  <c r="C18" i="1" a="1"/>
  <c r="C18" i="1" s="1"/>
  <c r="C16" i="1" a="1"/>
  <c r="C16" i="1" s="1"/>
  <c r="C19" i="1" s="1" a="1"/>
  <c r="C19" i="1" s="1"/>
  <c r="B18" i="1"/>
  <c r="B17" i="1"/>
  <c r="G2" i="1"/>
  <c r="B5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<sst xmlns="http://schemas.openxmlformats.org/spreadsheetml/2006/main" count="155" uniqueCount="61">
  <si>
    <t>A-ONE PRIVATE LIMATED</t>
  </si>
  <si>
    <t>Entry Type</t>
  </si>
  <si>
    <t>Last Entry</t>
  </si>
  <si>
    <t>Invoice No.</t>
  </si>
  <si>
    <t>Date</t>
  </si>
  <si>
    <t>Quentity</t>
  </si>
  <si>
    <t>Rate</t>
  </si>
  <si>
    <t>Customer</t>
  </si>
  <si>
    <t>Purchase Qty</t>
  </si>
  <si>
    <t>Sales Qty</t>
  </si>
  <si>
    <t>Remaing Stocks</t>
  </si>
  <si>
    <t>Address</t>
  </si>
  <si>
    <t>Phone No.</t>
  </si>
  <si>
    <t>GST %</t>
  </si>
  <si>
    <t>IGST %</t>
  </si>
  <si>
    <t>Net Amount</t>
  </si>
  <si>
    <t>Mouse</t>
  </si>
  <si>
    <t>SGST</t>
  </si>
  <si>
    <t>CGST</t>
  </si>
  <si>
    <t>Product_code</t>
  </si>
  <si>
    <t>product_name</t>
  </si>
  <si>
    <t>Product name</t>
  </si>
  <si>
    <t>Product Name</t>
  </si>
  <si>
    <t>Product Code</t>
  </si>
  <si>
    <t>Product Detail</t>
  </si>
  <si>
    <t>Keyboard</t>
  </si>
  <si>
    <t>Monitor</t>
  </si>
  <si>
    <t>CPU</t>
  </si>
  <si>
    <t>Speaker</t>
  </si>
  <si>
    <t>Cabinet</t>
  </si>
  <si>
    <t>Motherboard</t>
  </si>
  <si>
    <t>Graphic Card</t>
  </si>
  <si>
    <t>Hard Disk</t>
  </si>
  <si>
    <t>Home Theator</t>
  </si>
  <si>
    <t>Return Qty</t>
  </si>
  <si>
    <t>Delhi</t>
  </si>
  <si>
    <t>Q*R</t>
  </si>
  <si>
    <t>Satish</t>
  </si>
  <si>
    <t>vendor</t>
  </si>
  <si>
    <t/>
  </si>
  <si>
    <t>ctrl+down arrow</t>
  </si>
  <si>
    <t>Vinay</t>
  </si>
  <si>
    <t>Return Date</t>
  </si>
  <si>
    <t>Return Customer Name</t>
  </si>
  <si>
    <t>border</t>
  </si>
  <si>
    <t>Ankit</t>
  </si>
  <si>
    <t>Deepu</t>
  </si>
  <si>
    <t>Remaning Quantity</t>
  </si>
  <si>
    <t>Purchase</t>
  </si>
  <si>
    <t>Ankita</t>
  </si>
  <si>
    <t>UP</t>
  </si>
  <si>
    <t xml:space="preserve">IGST </t>
  </si>
  <si>
    <t>IGST</t>
  </si>
  <si>
    <t>Kuldeep</t>
  </si>
  <si>
    <t>Deepak</t>
  </si>
  <si>
    <t>Mayank</t>
  </si>
  <si>
    <t>Harish</t>
  </si>
  <si>
    <t>Vikash</t>
  </si>
  <si>
    <t>Ganesh</t>
  </si>
  <si>
    <t>Veeru</t>
  </si>
  <si>
    <t>Nangloi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</si>
</sst>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4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D4E40A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35">
    <xf numFmtId="0" fontId="0" fillId="0" borderId="0" xfId="0"/>
    <xf numFmtId="0" fontId="1" fillId="2" borderId="1" xfId="0" applyFont="1" applyFill="1" applyBorder="1"/>
    <xf numFmtId="0" fontId="3" fillId="3" borderId="0" xfId="0" applyFont="1" applyFill="1"/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9" fontId="2" fillId="4" borderId="1" xfId="1" applyFont="1" applyFill="1" applyBorder="1" applyAlignment="1">
      <alignment horizontal="center" vertical="center"/>
    </xf>
    <xf numFmtId="0" fontId="0" fillId="0" borderId="1" xfId="0" applyBorder="1"/>
    <xf numFmtId="1" fontId="0" fillId="0" borderId="1" xfId="1" applyNumberFormat="1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0" fillId="4" borderId="0" xfId="0" applyFill="1"/>
    <xf numFmtId="0" fontId="2" fillId="7" borderId="1" xfId="0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4" borderId="1" xfId="1" applyNumberFormat="1" applyFont="1" applyFill="1" applyBorder="1" applyAlignment="1">
      <alignment horizontal="center" vertical="center"/>
    </xf>
    <xf numFmtId="0" fontId="6" fillId="4" borderId="1" xfId="1" applyNumberFormat="1" applyFont="1" applyFill="1" applyBorder="1" applyAlignment="1">
      <alignment horizontal="center" vertical="center"/>
    </xf>
    <xf numFmtId="0" fontId="2" fillId="4" borderId="5" xfId="1" applyNumberFormat="1" applyFont="1" applyFill="1" applyBorder="1" applyAlignment="1">
      <alignment horizontal="center" vertical="center"/>
    </xf>
    <xf numFmtId="0" fontId="6" fillId="4" borderId="4" xfId="1" applyNumberFormat="1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4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10" borderId="0" xfId="0" applyFont="1" applyFill="1"/>
    <xf numFmtId="0" fontId="0" fillId="0" borderId="5" xfId="0" applyBorder="1"/>
    <xf numFmtId="0" fontId="0" fillId="4" borderId="1" xfId="0" applyFont="1" applyFill="1" applyBorder="1" applyAlignment="1">
      <alignment horizontal="center" vertical="center"/>
    </xf>
    <xf numFmtId="0" fontId="0" fillId="4" borderId="1" xfId="0" applyNumberFormat="1" applyFont="1" applyFill="1" applyBorder="1" applyAlignment="1">
      <alignment horizontal="center" vertical="center"/>
    </xf>
    <xf numFmtId="0" fontId="4" fillId="9" borderId="0" xfId="0" applyFont="1" applyFill="1" applyAlignment="1">
      <alignment horizontal="center"/>
    </xf>
    <xf numFmtId="0" fontId="5" fillId="9" borderId="0" xfId="0" applyFont="1" applyFill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28"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0"/>
      </font>
    </dxf>
    <dxf>
      <numFmt numFmtId="0" formatCode="General"/>
    </dxf>
    <dxf>
      <numFmt numFmtId="0" formatCode="General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0"/>
      </font>
    </dxf>
    <dxf>
      <font>
        <color theme="0"/>
      </font>
    </dxf>
    <dxf>
      <font>
        <color theme="0"/>
      </font>
      <fill>
        <patternFill patternType="none">
          <fgColor auto="1"/>
          <bgColor auto="1"/>
        </patternFill>
      </fill>
    </dxf>
  </dxfs>
  <tableStyles count="0" defaultTableStyle="TableStyleMedium2" defaultPivotStyle="PivotStyleLight16"/>
  <colors>
    <mruColors>
      <color rgb="FFD4E4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200026</xdr:colOff>
      <xdr:row>20</xdr:row>
      <xdr:rowOff>38100</xdr:rowOff>
    </xdr:from>
    <xdr:to>
      <xdr:col>1</xdr:col>
      <xdr:colOff>1219201</xdr:colOff>
      <xdr:row>21</xdr:row>
      <xdr:rowOff>104775</xdr:rowOff>
    </xdr:to>
    <xdr:sp macro="[0]!purchas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88D922E6-5FCB-402E-9E46-B0C1D7CA1EC1}"/>
            </a:ext>
          </a:extLst>
        </xdr:cNvPr>
        <xdr:cNvSpPr/>
      </xdr:nvSpPr>
      <xdr:spPr>
        <a:xfrm>
          <a:off x="1095376" y="3609975"/>
          <a:ext cx="1019175" cy="2571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latin typeface="Times New Roman" panose="02020603050405020304" pitchFamily="18" charset="0"/>
              <a:cs typeface="Times New Roman" panose="02020603050405020304" pitchFamily="18" charset="0"/>
            </a:rPr>
            <a:t>Purchase</a:t>
          </a:r>
        </a:p>
      </xdr:txBody>
    </xdr:sp>
    <xdr:clientData/>
  </xdr:twoCellAnchor>
  <xdr:twoCellAnchor>
    <xdr:from>
      <xdr:col>1</xdr:col>
      <xdr:colOff>1314451</xdr:colOff>
      <xdr:row>20</xdr:row>
      <xdr:rowOff>57151</xdr:rowOff>
    </xdr:from>
    <xdr:to>
      <xdr:col>2</xdr:col>
      <xdr:colOff>981076</xdr:colOff>
      <xdr:row>21</xdr:row>
      <xdr:rowOff>133351</xdr:rowOff>
    </xdr:to>
    <xdr:sp macro="[0]!Sal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xmlns="" id="{6BA63146-C8A3-49B0-B4D9-AFCF3401CEDC}"/>
            </a:ext>
          </a:extLst>
        </xdr:cNvPr>
        <xdr:cNvSpPr/>
      </xdr:nvSpPr>
      <xdr:spPr>
        <a:xfrm>
          <a:off x="2209801" y="4010026"/>
          <a:ext cx="1143000" cy="266700"/>
        </a:xfrm>
        <a:prstGeom prst="roundRect">
          <a:avLst>
            <a:gd name="adj" fmla="val 24074"/>
          </a:avLst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latin typeface="Times New Roman" panose="02020603050405020304" pitchFamily="18" charset="0"/>
              <a:cs typeface="Times New Roman" panose="02020603050405020304" pitchFamily="18" charset="0"/>
            </a:rPr>
            <a:t>Sales</a:t>
          </a:r>
        </a:p>
      </xdr:txBody>
    </xdr:sp>
    <xdr:clientData/>
  </xdr:twoCellAnchor>
  <xdr:twoCellAnchor>
    <xdr:from>
      <xdr:col>2</xdr:col>
      <xdr:colOff>1076326</xdr:colOff>
      <xdr:row>20</xdr:row>
      <xdr:rowOff>66676</xdr:rowOff>
    </xdr:from>
    <xdr:to>
      <xdr:col>2</xdr:col>
      <xdr:colOff>2219326</xdr:colOff>
      <xdr:row>21</xdr:row>
      <xdr:rowOff>142876</xdr:rowOff>
    </xdr:to>
    <xdr:sp macro="[0]!Return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xmlns="" id="{D1A0C7F5-A4A9-4F87-AD09-B49015853E57}"/>
            </a:ext>
          </a:extLst>
        </xdr:cNvPr>
        <xdr:cNvSpPr/>
      </xdr:nvSpPr>
      <xdr:spPr>
        <a:xfrm>
          <a:off x="3448051" y="4019551"/>
          <a:ext cx="1143000" cy="266700"/>
        </a:xfrm>
        <a:prstGeom prst="roundRect">
          <a:avLst>
            <a:gd name="adj" fmla="val 24074"/>
          </a:avLst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latin typeface="Times New Roman" panose="02020603050405020304" pitchFamily="18" charset="0"/>
              <a:cs typeface="Times New Roman" panose="02020603050405020304" pitchFamily="18" charset="0"/>
            </a:rPr>
            <a:t>Return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495300</xdr:colOff>
      <xdr:row>4</xdr:row>
      <xdr:rowOff>142875</xdr:rowOff>
    </xdr:from>
    <xdr:to>
      <xdr:col>8</xdr:col>
      <xdr:colOff>169914</xdr:colOff>
      <xdr:row>6</xdr:row>
      <xdr:rowOff>32671</xdr:rowOff>
    </xdr:to>
    <xdr:sp macro="[0]!Stock" textlink="">
      <xdr:nvSpPr>
        <xdr:cNvPr id="6" name="Rectangle: Rounded Corners 5">
          <a:extLst>
            <a:ext uri="{FF2B5EF4-FFF2-40B4-BE49-F238E27FC236}">
              <a16:creationId xmlns:a16="http://schemas.microsoft.com/office/drawing/2014/main" xmlns="" id="{B3AF7207-E279-4F48-A2DC-DD218643EB6D}"/>
            </a:ext>
          </a:extLst>
        </xdr:cNvPr>
        <xdr:cNvSpPr/>
      </xdr:nvSpPr>
      <xdr:spPr>
        <a:xfrm>
          <a:off x="6229350" y="904875"/>
          <a:ext cx="1141464" cy="270796"/>
        </a:xfrm>
        <a:prstGeom prst="roundRect">
          <a:avLst>
            <a:gd name="adj" fmla="val 24074"/>
          </a:avLst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latin typeface="Times New Roman" panose="02020603050405020304" pitchFamily="18" charset="0"/>
              <a:cs typeface="Times New Roman" panose="02020603050405020304" pitchFamily="18" charset="0"/>
            </a:rPr>
            <a:t>Stock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A1:P19" totalsRowShown="0" headerRowDxfId="24" headerRowBorderDxfId="23" tableBorderDxfId="22">
  <sortState ref="A2:P12">
    <sortCondition ref="A1:A19"/>
  </sortState>
  <tableColumns count="16">
    <tableColumn id="1" name="Invoice No."/>
    <tableColumn id="2" name="vendor"/>
    <tableColumn id="3" name="Phone No."/>
    <tableColumn id="4" name="Address"/>
    <tableColumn id="5" name="Date"/>
    <tableColumn id="6" name="Product Code"/>
    <tableColumn id="7" name="Product Name"/>
    <tableColumn id="8" name="Quentity"/>
    <tableColumn id="9" name="Rate"/>
    <tableColumn id="10" name="Q*R"/>
    <tableColumn id="11" name="GST %" dataDxfId="21"/>
    <tableColumn id="12" name="SGST"/>
    <tableColumn id="13" name="CGST"/>
    <tableColumn id="14" name="IGST %" dataDxfId="20"/>
    <tableColumn id="15" name="IGST "/>
    <tableColumn id="16" name="Net Amount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id="2" name="Table2" displayName="Table2" ref="A1:P6" totalsRowShown="0" headerRowDxfId="19" headerRowBorderDxfId="18" tableBorderDxfId="17">
  <autoFilter ref="A1:P6"/>
  <sortState ref="A2:P4">
    <sortCondition ref="A1:A6"/>
  </sortState>
  <tableColumns count="16">
    <tableColumn id="1" name="Invoice No."/>
    <tableColumn id="2" name="Customer"/>
    <tableColumn id="3" name="Phone No."/>
    <tableColumn id="4" name="Address"/>
    <tableColumn id="5" name="Date"/>
    <tableColumn id="6" name="Product Code"/>
    <tableColumn id="7" name="Product Name"/>
    <tableColumn id="8" name="Quentity"/>
    <tableColumn id="9" name="Rate"/>
    <tableColumn id="10" name="Q*R"/>
    <tableColumn id="11" name="GST %" dataDxfId="16"/>
    <tableColumn id="12" name="SGST"/>
    <tableColumn id="13" name="CGST"/>
    <tableColumn id="14" name="IGST %" dataDxfId="15"/>
    <tableColumn id="15" name="IGST"/>
    <tableColumn id="16" name="Net Amount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id="3" name="Table3" displayName="Table3" ref="A1:P6" totalsRowShown="0" headerRowDxfId="14" headerRowBorderDxfId="13" tableBorderDxfId="12">
  <autoFilter ref="A1:P6"/>
  <sortState ref="A2:P4">
    <sortCondition ref="A1:A6"/>
  </sortState>
  <tableColumns count="16">
    <tableColumn id="1" name="Invoice No."/>
    <tableColumn id="2" name="Return Customer Name"/>
    <tableColumn id="3" name="Phone No."/>
    <tableColumn id="4" name="Address"/>
    <tableColumn id="5" name="Return Date"/>
    <tableColumn id="6" name="Product Code"/>
    <tableColumn id="7" name="Product Name"/>
    <tableColumn id="8" name="Quentity"/>
    <tableColumn id="9" name="Rate"/>
    <tableColumn id="10" name="Q*R"/>
    <tableColumn id="11" name="GST %" dataDxfId="11"/>
    <tableColumn id="12" name="SGST"/>
    <tableColumn id="13" name="CGST"/>
    <tableColumn id="14" name="IGST %" dataDxfId="10"/>
    <tableColumn id="15" name="IGST"/>
    <tableColumn id="16" name="Net Amount"/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id="6" name="Table6" displayName="Table6" ref="A1:F16" totalsRowShown="0" headerRowDxfId="8" dataDxfId="7" tableBorderDxfId="6">
  <tableColumns count="6">
    <tableColumn id="1" name="Product Code" dataDxfId="5"/>
    <tableColumn id="2" name="Product name" dataDxfId="4">
      <calculatedColumnFormula array="1">stock_product_name1</calculatedColumnFormula>
    </tableColumn>
    <tableColumn id="3" name="Purchase Qty" dataDxfId="3">
      <calculatedColumnFormula array="1">Stock_purchase_qty</calculatedColumnFormula>
    </tableColumn>
    <tableColumn id="4" name="Sales Qty" dataDxfId="2">
      <calculatedColumnFormula array="1">Stock_sale_qty</calculatedColumnFormula>
    </tableColumn>
    <tableColumn id="5" name="Return Qty" dataDxfId="1">
      <calculatedColumnFormula array="1">Stock_Return_Qty</calculatedColumnFormula>
    </tableColumn>
    <tableColumn id="6" name="Remaing Stocks" dataDxfId="0">
      <calculatedColumnFormula array="1">Stock_remaining_qty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70C0"/>
  </sheetPr>
  <dimension ref="A1:M19"/>
  <sheetViews>
    <sheetView showGridLines="0" tabSelected="1" zoomScale="93" zoomScaleNormal="93" workbookViewId="0">
      <selection activeCell="C20" sqref="C20"/>
    </sheetView>
  </sheetViews>
  <sheetFormatPr defaultRowHeight="15" x14ac:dyDescent="0.25"/>
  <cols>
    <col min="1" max="1" width="13.42578125" customWidth="1"/>
    <col min="2" max="2" width="22.140625" customWidth="1"/>
    <col min="3" max="3" width="36.85546875" customWidth="1"/>
    <col min="6" max="6" width="12.85546875" bestFit="1" customWidth="1"/>
    <col min="7" max="7" width="13.7109375" bestFit="1" customWidth="1"/>
    <col min="8" max="8" width="18.28515625" bestFit="1" customWidth="1"/>
    <col min="10" max="10" width="13.85546875" bestFit="1" customWidth="1"/>
    <col min="11" max="11" width="14.7109375" bestFit="1" customWidth="1"/>
    <col min="12" max="12" width="6.85546875" customWidth="1"/>
  </cols>
  <sheetData>
    <row r="1" spans="1:13" ht="26.25" x14ac:dyDescent="0.4">
      <c r="A1" s="30" t="s">
        <v>0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</row>
    <row r="2" spans="1:13" x14ac:dyDescent="0.25">
      <c r="A2" s="1" t="s">
        <v>1</v>
      </c>
      <c r="B2" s="32" t="s">
        <v>48</v>
      </c>
      <c r="C2" s="33"/>
      <c r="F2" s="1" t="s">
        <v>2</v>
      </c>
      <c r="G2" s="2">
        <f>IFERROR(IF(B2="purchase",MAX(Purchase!A:A),MAX(Sales!A:A)),"")</f>
        <v>11</v>
      </c>
    </row>
    <row r="4" spans="1:13" x14ac:dyDescent="0.25">
      <c r="B4" s="5" t="s">
        <v>3</v>
      </c>
      <c r="C4" s="3"/>
      <c r="F4" s="34" t="s">
        <v>24</v>
      </c>
      <c r="G4" s="34"/>
      <c r="H4" s="34"/>
    </row>
    <row r="5" spans="1:13" x14ac:dyDescent="0.25">
      <c r="B5" s="5" t="str">
        <f>IF(B2="Purchase","Vendor","Customer")</f>
        <v>Vendor</v>
      </c>
      <c r="C5" s="3"/>
      <c r="F5" s="17" t="s">
        <v>23</v>
      </c>
      <c r="G5" s="17" t="s">
        <v>22</v>
      </c>
      <c r="H5" s="17" t="s">
        <v>47</v>
      </c>
    </row>
    <row r="6" spans="1:13" x14ac:dyDescent="0.25">
      <c r="B6" s="5" t="s">
        <v>12</v>
      </c>
      <c r="C6" s="3"/>
      <c r="F6" s="3" t="str">
        <f>IF($C$9="","",$C$9)</f>
        <v/>
      </c>
      <c r="G6" s="3" t="str">
        <f>IF($C$10="","",$C$10)</f>
        <v/>
      </c>
      <c r="H6" s="16" t="str">
        <f>IFERROR(IF($G$6="","",VLOOKUP($F$6,Stock!$A$1:$F$3,6,0)),"Not In stock")</f>
        <v/>
      </c>
    </row>
    <row r="7" spans="1:13" x14ac:dyDescent="0.25">
      <c r="B7" s="5" t="s">
        <v>11</v>
      </c>
      <c r="C7" s="6"/>
    </row>
    <row r="8" spans="1:13" x14ac:dyDescent="0.25">
      <c r="B8" s="5" t="s">
        <v>4</v>
      </c>
      <c r="C8" s="4"/>
    </row>
    <row r="9" spans="1:13" x14ac:dyDescent="0.25">
      <c r="B9" s="5" t="s">
        <v>23</v>
      </c>
      <c r="C9" s="3"/>
    </row>
    <row r="10" spans="1:13" x14ac:dyDescent="0.25">
      <c r="B10" s="5" t="s">
        <v>22</v>
      </c>
      <c r="C10" s="3" t="str">
        <f>IFERROR(VLOOKUP($C$9,Sheet2!$A$2:$B$11,2,0),"")</f>
        <v/>
      </c>
      <c r="D10" s="14"/>
    </row>
    <row r="11" spans="1:13" x14ac:dyDescent="0.25">
      <c r="B11" s="5" t="s">
        <v>5</v>
      </c>
      <c r="C11" s="3"/>
    </row>
    <row r="12" spans="1:13" x14ac:dyDescent="0.25">
      <c r="B12" s="5" t="s">
        <v>6</v>
      </c>
      <c r="C12" s="3"/>
    </row>
    <row r="13" spans="1:13" x14ac:dyDescent="0.25">
      <c r="B13" s="5" t="s">
        <v>36</v>
      </c>
      <c r="C13" s="3" cm="1">
        <f t="array" ref="C13">Amount</f>
        <v>0</v>
      </c>
      <c r="D13" s="14"/>
    </row>
    <row r="14" spans="1:13" x14ac:dyDescent="0.25">
      <c r="B14" s="7" t="str">
        <f>("GST"&amp;" "&amp;$C$14&amp;"%")</f>
        <v>GST %</v>
      </c>
      <c r="C14" s="3"/>
    </row>
    <row r="15" spans="1:13" x14ac:dyDescent="0.25">
      <c r="B15" s="5" t="str">
        <f>IFERROR("SGST"&amp;" "&amp;$C$14/$G$15&amp;"%","SGST")</f>
        <v>SGST 0%</v>
      </c>
      <c r="C15" s="9" t="str" cm="1">
        <f t="array" ref="C15">SGST_9</f>
        <v/>
      </c>
      <c r="D15" s="14"/>
      <c r="G15" s="10">
        <v>2</v>
      </c>
      <c r="H15" s="10">
        <v>100</v>
      </c>
    </row>
    <row r="16" spans="1:13" x14ac:dyDescent="0.25">
      <c r="B16" s="5" t="str">
        <f>IFERROR("CGST"&amp;" "&amp;$C$14/$G$15&amp;"%","CGST")</f>
        <v>CGST 0%</v>
      </c>
      <c r="C16" s="9" t="str" cm="1">
        <f t="array" ref="C16">CGST_9</f>
        <v/>
      </c>
      <c r="D16" s="14"/>
      <c r="L16" s="10" t="s">
        <v>40</v>
      </c>
    </row>
    <row r="17" spans="2:12" x14ac:dyDescent="0.25">
      <c r="B17" s="5" t="str">
        <f>IFERROR("IGST"&amp;" "&amp;$C$17&amp;"%","")</f>
        <v>IGST %</v>
      </c>
      <c r="C17" s="3"/>
      <c r="L17" s="10"/>
    </row>
    <row r="18" spans="2:12" x14ac:dyDescent="0.25">
      <c r="B18" s="5" t="str">
        <f>IFERROR(IF($C$17="-","","IGST"&amp;" "&amp;$C$17&amp;"%")," ")</f>
        <v>IGST %</v>
      </c>
      <c r="C18" s="3" t="str" cm="1">
        <f t="array" ref="C18">IGST</f>
        <v/>
      </c>
      <c r="D18" s="14"/>
      <c r="L18" s="10" t="s">
        <v>44</v>
      </c>
    </row>
    <row r="19" spans="2:12" x14ac:dyDescent="0.25">
      <c r="B19" s="15" t="s">
        <v>15</v>
      </c>
      <c r="C19" s="3" cm="1">
        <f t="array" ref="C19">Net_Amount</f>
        <v>0</v>
      </c>
      <c r="D19" s="14"/>
    </row>
  </sheetData>
  <mergeCells count="3">
    <mergeCell ref="A1:M1"/>
    <mergeCell ref="B2:C2"/>
    <mergeCell ref="F4:H4"/>
  </mergeCells>
  <conditionalFormatting sqref="C19 C13">
    <cfRule type="expression" dxfId="27" priority="5">
      <formula>$C$13=0</formula>
    </cfRule>
  </conditionalFormatting>
  <conditionalFormatting sqref="C14">
    <cfRule type="expression" dxfId="26" priority="2">
      <formula>$C$14="-"</formula>
    </cfRule>
  </conditionalFormatting>
  <conditionalFormatting sqref="C17">
    <cfRule type="expression" dxfId="25" priority="1">
      <formula>$C$17="-"</formula>
    </cfRule>
  </conditionalFormatting>
  <dataValidations count="4">
    <dataValidation type="list" allowBlank="1" showInputMessage="1" showErrorMessage="1" sqref="B2:C2">
      <formula1>"Purchase,Sale"</formula1>
    </dataValidation>
    <dataValidation type="list" allowBlank="1" showInputMessage="1" showErrorMessage="1" sqref="C14 C17">
      <formula1>"-,0,5,12,18,28"</formula1>
    </dataValidation>
    <dataValidation type="textLength" operator="equal" allowBlank="1" showInputMessage="1" showErrorMessage="1" promptTitle="Number Limit" prompt="Phone no should be 10 digit._x000a_" sqref="C6">
      <formula1>10</formula1>
    </dataValidation>
    <dataValidation type="list" allowBlank="1" showInputMessage="1" showErrorMessage="1" sqref="C9">
      <formula1>Product_code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P12"/>
  <sheetViews>
    <sheetView workbookViewId="0">
      <selection activeCell="A2" sqref="A2:P2"/>
    </sheetView>
  </sheetViews>
  <sheetFormatPr defaultRowHeight="15" x14ac:dyDescent="0.25"/>
  <cols>
    <col min="1" max="1" width="16.140625" customWidth="1"/>
    <col min="2" max="2" width="12" customWidth="1"/>
    <col min="3" max="3" width="14.5703125" customWidth="1"/>
    <col min="4" max="4" width="34.42578125" customWidth="1"/>
    <col min="5" max="5" width="10.7109375" customWidth="1"/>
    <col min="6" max="6" width="16.7109375" customWidth="1"/>
    <col min="7" max="7" width="18.7109375" customWidth="1"/>
    <col min="8" max="8" width="13.85546875" customWidth="1"/>
    <col min="9" max="10" width="9.85546875" customWidth="1"/>
    <col min="11" max="11" width="8.5703125" customWidth="1"/>
    <col min="12" max="12" width="8.140625" bestFit="1" customWidth="1"/>
    <col min="15" max="15" width="10.140625" customWidth="1"/>
    <col min="16" max="16" width="14" customWidth="1"/>
    <col min="17" max="17" width="16.42578125" customWidth="1"/>
    <col min="18" max="18" width="12.28515625" customWidth="1"/>
    <col min="19" max="19" width="12.5703125" customWidth="1"/>
    <col min="20" max="20" width="15.85546875" customWidth="1"/>
    <col min="21" max="21" width="17.140625" customWidth="1"/>
  </cols>
  <sheetData>
    <row r="1" spans="1:16" x14ac:dyDescent="0.25">
      <c r="A1" s="5" t="s">
        <v>3</v>
      </c>
      <c r="B1" s="5" t="s">
        <v>38</v>
      </c>
      <c r="C1" s="5" t="s">
        <v>12</v>
      </c>
      <c r="D1" s="5" t="s">
        <v>11</v>
      </c>
      <c r="E1" s="5" t="s">
        <v>4</v>
      </c>
      <c r="F1" s="5" t="s">
        <v>23</v>
      </c>
      <c r="G1" s="5" t="s">
        <v>22</v>
      </c>
      <c r="H1" s="5" t="s">
        <v>5</v>
      </c>
      <c r="I1" s="5" t="s">
        <v>6</v>
      </c>
      <c r="J1" s="5" t="s">
        <v>36</v>
      </c>
      <c r="K1" s="18" t="s">
        <v>13</v>
      </c>
      <c r="L1" s="5" t="s">
        <v>17</v>
      </c>
      <c r="M1" s="23" t="s">
        <v>18</v>
      </c>
      <c r="N1" s="5" t="s">
        <v>14</v>
      </c>
      <c r="O1" s="5" t="s">
        <v>51</v>
      </c>
      <c r="P1" s="5" t="s">
        <v>15</v>
      </c>
    </row>
    <row r="2" spans="1:16" x14ac:dyDescent="0.25">
      <c r="A2" s="11">
        <v>1</v>
      </c>
      <c r="B2" s="11" t="s">
        <v>37</v>
      </c>
      <c r="C2" s="11">
        <v>8596426350</v>
      </c>
      <c r="D2" s="11" t="s">
        <v>35</v>
      </c>
      <c r="E2" s="11">
        <v>45843</v>
      </c>
      <c r="F2" s="11">
        <v>1001</v>
      </c>
      <c r="G2" s="11" t="s">
        <v>25</v>
      </c>
      <c r="H2" s="11">
        <v>50</v>
      </c>
      <c r="I2" s="11">
        <v>500</v>
      </c>
      <c r="J2" s="11">
        <v>25000</v>
      </c>
      <c r="K2" s="19">
        <v>18</v>
      </c>
      <c r="L2" s="11">
        <v>2250</v>
      </c>
      <c r="M2" s="12">
        <v>2250</v>
      </c>
      <c r="N2" s="11"/>
      <c r="O2" s="11" t="s">
        <v>39</v>
      </c>
      <c r="P2" s="11">
        <v>29500</v>
      </c>
    </row>
    <row r="3" spans="1:16" x14ac:dyDescent="0.25">
      <c r="A3" s="11">
        <v>2</v>
      </c>
      <c r="B3" s="11" t="s">
        <v>41</v>
      </c>
      <c r="C3" s="11">
        <v>8596435290</v>
      </c>
      <c r="D3" s="11" t="s">
        <v>35</v>
      </c>
      <c r="E3" s="11">
        <v>45843</v>
      </c>
      <c r="F3" s="11">
        <v>1004</v>
      </c>
      <c r="G3" s="11" t="s">
        <v>27</v>
      </c>
      <c r="H3" s="11">
        <v>50</v>
      </c>
      <c r="I3" s="11">
        <v>3000</v>
      </c>
      <c r="J3" s="11">
        <v>150000</v>
      </c>
      <c r="K3" s="19">
        <v>18</v>
      </c>
      <c r="L3" s="11">
        <v>13500</v>
      </c>
      <c r="M3" s="12">
        <v>13500</v>
      </c>
      <c r="N3" s="11"/>
      <c r="O3" s="11" t="s">
        <v>39</v>
      </c>
      <c r="P3" s="11">
        <v>177000</v>
      </c>
    </row>
    <row r="4" spans="1:16" x14ac:dyDescent="0.25">
      <c r="A4" s="11">
        <v>3</v>
      </c>
      <c r="B4" s="11" t="s">
        <v>49</v>
      </c>
      <c r="C4" s="11">
        <v>8596743561</v>
      </c>
      <c r="D4" s="11" t="s">
        <v>50</v>
      </c>
      <c r="E4" s="11">
        <v>45843</v>
      </c>
      <c r="F4" s="11">
        <v>1002</v>
      </c>
      <c r="G4" s="11" t="s">
        <v>16</v>
      </c>
      <c r="H4" s="11">
        <v>100</v>
      </c>
      <c r="I4" s="11">
        <v>900</v>
      </c>
      <c r="J4" s="11">
        <v>90000</v>
      </c>
      <c r="K4" s="19"/>
      <c r="L4" s="11" t="s">
        <v>39</v>
      </c>
      <c r="M4" s="11" t="s">
        <v>39</v>
      </c>
      <c r="N4" s="11">
        <v>18</v>
      </c>
      <c r="O4" s="11">
        <v>16200</v>
      </c>
      <c r="P4" s="11">
        <v>106200</v>
      </c>
    </row>
    <row r="5" spans="1:16" x14ac:dyDescent="0.25">
      <c r="A5" s="11">
        <v>4</v>
      </c>
      <c r="B5" s="11" t="s">
        <v>53</v>
      </c>
      <c r="C5" s="11">
        <v>8596743652</v>
      </c>
      <c r="D5" s="11" t="s">
        <v>35</v>
      </c>
      <c r="E5" s="11">
        <v>45843</v>
      </c>
      <c r="F5" s="11">
        <v>1005</v>
      </c>
      <c r="G5" s="11" t="s">
        <v>28</v>
      </c>
      <c r="H5" s="11">
        <v>50</v>
      </c>
      <c r="I5" s="11">
        <v>300</v>
      </c>
      <c r="J5" s="11">
        <v>15000</v>
      </c>
      <c r="K5" s="19">
        <v>18</v>
      </c>
      <c r="L5" s="11">
        <v>1350</v>
      </c>
      <c r="M5" s="11">
        <v>1350</v>
      </c>
      <c r="N5" s="11"/>
      <c r="O5" s="11" t="s">
        <v>39</v>
      </c>
      <c r="P5" s="11">
        <v>17700</v>
      </c>
    </row>
    <row r="6" spans="1:16" x14ac:dyDescent="0.25">
      <c r="A6" s="11">
        <v>5</v>
      </c>
      <c r="B6" s="11" t="s">
        <v>54</v>
      </c>
      <c r="C6" s="11">
        <v>8596321475</v>
      </c>
      <c r="D6" s="11" t="s">
        <v>35</v>
      </c>
      <c r="E6" s="11">
        <v>45843</v>
      </c>
      <c r="F6" s="11">
        <v>1010</v>
      </c>
      <c r="G6" s="11" t="s">
        <v>32</v>
      </c>
      <c r="H6" s="11">
        <v>50</v>
      </c>
      <c r="I6" s="11">
        <v>1000</v>
      </c>
      <c r="J6" s="11">
        <v>50000</v>
      </c>
      <c r="K6" s="19">
        <v>18</v>
      </c>
      <c r="L6" s="11">
        <v>4500</v>
      </c>
      <c r="M6" s="11">
        <v>4500</v>
      </c>
      <c r="N6" s="11"/>
      <c r="O6" s="11" t="s">
        <v>39</v>
      </c>
      <c r="P6" s="11">
        <v>59000</v>
      </c>
    </row>
    <row r="7" spans="1:16" x14ac:dyDescent="0.25">
      <c r="A7" s="11">
        <v>6</v>
      </c>
      <c r="B7" s="11" t="s">
        <v>55</v>
      </c>
      <c r="C7" s="11">
        <v>8963257412</v>
      </c>
      <c r="D7" s="11" t="s">
        <v>35</v>
      </c>
      <c r="E7" s="11">
        <v>45843</v>
      </c>
      <c r="F7" s="11">
        <v>1009</v>
      </c>
      <c r="G7" s="11" t="s">
        <v>31</v>
      </c>
      <c r="H7" s="11">
        <v>25</v>
      </c>
      <c r="I7" s="11">
        <v>2500</v>
      </c>
      <c r="J7" s="11">
        <v>62500</v>
      </c>
      <c r="K7" s="19">
        <v>18</v>
      </c>
      <c r="L7" s="11">
        <v>5625</v>
      </c>
      <c r="M7" s="11">
        <v>5625</v>
      </c>
      <c r="N7" s="11"/>
      <c r="O7" s="11" t="s">
        <v>39</v>
      </c>
      <c r="P7" s="11">
        <v>73750</v>
      </c>
    </row>
    <row r="8" spans="1:16" x14ac:dyDescent="0.25">
      <c r="A8" s="11">
        <v>7</v>
      </c>
      <c r="B8" s="11" t="s">
        <v>56</v>
      </c>
      <c r="C8" s="11">
        <v>7894561235</v>
      </c>
      <c r="D8" s="11" t="s">
        <v>35</v>
      </c>
      <c r="E8" s="11">
        <v>45843</v>
      </c>
      <c r="F8" s="11">
        <v>1003</v>
      </c>
      <c r="G8" s="11" t="s">
        <v>26</v>
      </c>
      <c r="H8" s="11">
        <v>25</v>
      </c>
      <c r="I8" s="11">
        <v>1800</v>
      </c>
      <c r="J8" s="11">
        <v>45000</v>
      </c>
      <c r="K8" s="19">
        <v>18</v>
      </c>
      <c r="L8" s="11">
        <v>4050</v>
      </c>
      <c r="M8" s="11">
        <v>4050</v>
      </c>
      <c r="N8" s="11"/>
      <c r="O8" s="11" t="s">
        <v>39</v>
      </c>
      <c r="P8" s="11">
        <v>53100</v>
      </c>
    </row>
    <row r="9" spans="1:16" x14ac:dyDescent="0.25">
      <c r="A9" s="11">
        <v>8</v>
      </c>
      <c r="B9" s="11" t="s">
        <v>57</v>
      </c>
      <c r="C9" s="11">
        <v>8963257415</v>
      </c>
      <c r="D9" s="11" t="s">
        <v>35</v>
      </c>
      <c r="E9" s="11">
        <v>45843</v>
      </c>
      <c r="F9" s="11">
        <v>1006</v>
      </c>
      <c r="G9" s="11" t="s">
        <v>33</v>
      </c>
      <c r="H9" s="11">
        <v>10</v>
      </c>
      <c r="I9" s="11">
        <v>3200</v>
      </c>
      <c r="J9" s="11">
        <v>32000</v>
      </c>
      <c r="K9" s="19">
        <v>18</v>
      </c>
      <c r="L9" s="11">
        <v>2880</v>
      </c>
      <c r="M9" s="11">
        <v>2880</v>
      </c>
      <c r="N9" s="11"/>
      <c r="O9" s="11" t="s">
        <v>39</v>
      </c>
      <c r="P9" s="11">
        <v>37760</v>
      </c>
    </row>
    <row r="10" spans="1:16" x14ac:dyDescent="0.25">
      <c r="A10" s="11">
        <v>9</v>
      </c>
      <c r="B10" s="11" t="s">
        <v>58</v>
      </c>
      <c r="C10" s="11">
        <v>8974561236</v>
      </c>
      <c r="D10" s="11" t="s">
        <v>35</v>
      </c>
      <c r="E10" s="11">
        <v>45843</v>
      </c>
      <c r="F10" s="11">
        <v>1007</v>
      </c>
      <c r="G10" s="11" t="s">
        <v>29</v>
      </c>
      <c r="H10" s="11">
        <v>15</v>
      </c>
      <c r="I10" s="11">
        <v>1500</v>
      </c>
      <c r="J10" s="11">
        <v>22500</v>
      </c>
      <c r="K10" s="19">
        <v>18</v>
      </c>
      <c r="L10" s="11">
        <v>2025</v>
      </c>
      <c r="M10" s="11">
        <v>2025</v>
      </c>
      <c r="N10" s="11"/>
      <c r="O10" s="11" t="s">
        <v>39</v>
      </c>
      <c r="P10" s="11">
        <v>26550</v>
      </c>
    </row>
    <row r="11" spans="1:16" x14ac:dyDescent="0.25">
      <c r="A11" s="11">
        <v>10</v>
      </c>
      <c r="B11" s="11" t="s">
        <v>37</v>
      </c>
      <c r="C11" s="11">
        <v>7894561236</v>
      </c>
      <c r="D11" s="11" t="s">
        <v>35</v>
      </c>
      <c r="E11" s="11">
        <v>45844</v>
      </c>
      <c r="F11" s="11">
        <v>1008</v>
      </c>
      <c r="G11" s="11" t="s">
        <v>30</v>
      </c>
      <c r="H11" s="11">
        <v>25</v>
      </c>
      <c r="I11" s="11">
        <v>3000</v>
      </c>
      <c r="J11" s="11">
        <v>75000</v>
      </c>
      <c r="K11" s="19">
        <v>18</v>
      </c>
      <c r="L11" s="11">
        <v>6750</v>
      </c>
      <c r="M11" s="11">
        <v>6750</v>
      </c>
      <c r="N11" s="11"/>
      <c r="O11" s="11" t="s">
        <v>39</v>
      </c>
      <c r="P11" s="11">
        <v>88500</v>
      </c>
    </row>
    <row r="12" spans="1:16" x14ac:dyDescent="0.25">
      <c r="A12" s="28">
        <v>11</v>
      </c>
      <c r="B12" s="28" t="s">
        <v>59</v>
      </c>
      <c r="C12" s="28">
        <v>8596756892</v>
      </c>
      <c r="D12" s="28" t="s">
        <v>60</v>
      </c>
      <c r="E12" s="28">
        <v>45925</v>
      </c>
      <c r="F12" s="28">
        <v>1003</v>
      </c>
      <c r="G12" s="28" t="s">
        <v>26</v>
      </c>
      <c r="H12" s="28">
        <v>500</v>
      </c>
      <c r="I12" s="28">
        <v>2000</v>
      </c>
      <c r="J12" s="28">
        <v>1000000</v>
      </c>
      <c r="K12" s="19">
        <v>18</v>
      </c>
      <c r="L12" s="28">
        <v>90000</v>
      </c>
      <c r="M12" s="28">
        <v>90000</v>
      </c>
      <c r="N12" s="29"/>
      <c r="O12" s="28" t="s">
        <v>39</v>
      </c>
      <c r="P12" s="28">
        <v>1180000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P4"/>
  <sheetViews>
    <sheetView workbookViewId="0">
      <selection activeCell="A2" sqref="A2:P2"/>
    </sheetView>
  </sheetViews>
  <sheetFormatPr defaultRowHeight="15" x14ac:dyDescent="0.25"/>
  <cols>
    <col min="1" max="1" width="13.140625" customWidth="1"/>
    <col min="2" max="2" width="11.7109375" customWidth="1"/>
    <col min="3" max="3" width="12.42578125" customWidth="1"/>
    <col min="4" max="4" width="34.85546875" customWidth="1"/>
    <col min="6" max="6" width="15" customWidth="1"/>
    <col min="7" max="7" width="16" customWidth="1"/>
    <col min="8" max="8" width="11" customWidth="1"/>
    <col min="14" max="14" width="12.42578125" customWidth="1"/>
    <col min="15" max="15" width="13.5703125" customWidth="1"/>
    <col min="16" max="16" width="14" customWidth="1"/>
  </cols>
  <sheetData>
    <row r="1" spans="1:16" x14ac:dyDescent="0.25">
      <c r="A1" s="13" t="s">
        <v>3</v>
      </c>
      <c r="B1" s="13" t="s">
        <v>7</v>
      </c>
      <c r="C1" s="13" t="s">
        <v>12</v>
      </c>
      <c r="D1" s="13" t="s">
        <v>11</v>
      </c>
      <c r="E1" s="13" t="s">
        <v>4</v>
      </c>
      <c r="F1" s="13" t="s">
        <v>23</v>
      </c>
      <c r="G1" s="13" t="s">
        <v>22</v>
      </c>
      <c r="H1" s="13" t="s">
        <v>5</v>
      </c>
      <c r="I1" s="13" t="s">
        <v>6</v>
      </c>
      <c r="J1" s="13" t="s">
        <v>36</v>
      </c>
      <c r="K1" s="20" t="s">
        <v>13</v>
      </c>
      <c r="L1" s="13" t="s">
        <v>17</v>
      </c>
      <c r="M1" s="13" t="s">
        <v>18</v>
      </c>
      <c r="N1" s="13" t="s">
        <v>14</v>
      </c>
      <c r="O1" s="13" t="s">
        <v>52</v>
      </c>
      <c r="P1" s="13" t="s">
        <v>15</v>
      </c>
    </row>
    <row r="2" spans="1:16" x14ac:dyDescent="0.25">
      <c r="A2" s="11">
        <v>1</v>
      </c>
      <c r="B2" s="11" t="s">
        <v>45</v>
      </c>
      <c r="C2" s="11">
        <v>8946756436</v>
      </c>
      <c r="D2" s="11" t="s">
        <v>35</v>
      </c>
      <c r="E2" s="11">
        <v>45843</v>
      </c>
      <c r="F2" s="11">
        <v>1001</v>
      </c>
      <c r="G2" s="11" t="s">
        <v>25</v>
      </c>
      <c r="H2" s="11">
        <v>25</v>
      </c>
      <c r="I2" s="11">
        <v>550</v>
      </c>
      <c r="J2" s="11">
        <v>13750</v>
      </c>
      <c r="K2" s="19">
        <v>18</v>
      </c>
      <c r="L2" s="11">
        <v>1237.5</v>
      </c>
      <c r="M2" s="11">
        <v>1237.5</v>
      </c>
      <c r="N2" s="11"/>
      <c r="O2" s="11"/>
      <c r="P2" s="11">
        <v>16225</v>
      </c>
    </row>
    <row r="3" spans="1:16" x14ac:dyDescent="0.25">
      <c r="A3" s="12">
        <v>2</v>
      </c>
      <c r="B3" s="12" t="s">
        <v>46</v>
      </c>
      <c r="C3" s="12">
        <v>5896432175</v>
      </c>
      <c r="D3" s="12" t="s">
        <v>35</v>
      </c>
      <c r="E3" s="12">
        <v>45843</v>
      </c>
      <c r="F3" s="12">
        <v>1004</v>
      </c>
      <c r="G3" s="12" t="s">
        <v>27</v>
      </c>
      <c r="H3" s="12">
        <v>25</v>
      </c>
      <c r="I3" s="12">
        <v>3500</v>
      </c>
      <c r="J3" s="12">
        <v>87500</v>
      </c>
      <c r="K3" s="21">
        <v>18</v>
      </c>
      <c r="L3" s="12">
        <v>7875</v>
      </c>
      <c r="M3" s="12">
        <v>7875</v>
      </c>
      <c r="N3" s="12"/>
      <c r="O3" s="12" t="s">
        <v>39</v>
      </c>
      <c r="P3" s="12">
        <v>103250</v>
      </c>
    </row>
    <row r="4" spans="1:16" x14ac:dyDescent="0.25">
      <c r="A4" s="12"/>
      <c r="B4" s="12"/>
      <c r="C4" s="12"/>
      <c r="D4" s="12"/>
      <c r="E4" s="12"/>
      <c r="F4" s="12"/>
      <c r="G4" s="12" t="s">
        <v>39</v>
      </c>
      <c r="H4" s="12"/>
      <c r="I4" s="12"/>
      <c r="J4" s="12">
        <v>0</v>
      </c>
      <c r="K4" s="21"/>
      <c r="L4" s="12" t="s">
        <v>39</v>
      </c>
      <c r="M4" s="12" t="s">
        <v>39</v>
      </c>
      <c r="N4" s="12"/>
      <c r="O4" s="12" t="s">
        <v>39</v>
      </c>
      <c r="P4" s="12"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C00000"/>
  </sheetPr>
  <dimension ref="A1:P4"/>
  <sheetViews>
    <sheetView workbookViewId="0">
      <selection activeCell="A2" sqref="A2"/>
    </sheetView>
  </sheetViews>
  <sheetFormatPr defaultRowHeight="15" x14ac:dyDescent="0.25"/>
  <cols>
    <col min="1" max="1" width="16.42578125" customWidth="1"/>
    <col min="2" max="2" width="23.85546875" customWidth="1"/>
    <col min="3" max="3" width="12.42578125" customWidth="1"/>
    <col min="4" max="4" width="41.28515625" customWidth="1"/>
    <col min="5" max="5" width="13.7109375" customWidth="1"/>
    <col min="6" max="6" width="15" customWidth="1"/>
    <col min="7" max="7" width="16" customWidth="1"/>
    <col min="8" max="8" width="11" customWidth="1"/>
    <col min="15" max="15" width="13.5703125" customWidth="1"/>
    <col min="16" max="16" width="18.140625" customWidth="1"/>
  </cols>
  <sheetData>
    <row r="1" spans="1:16" x14ac:dyDescent="0.25">
      <c r="A1" s="13" t="s">
        <v>3</v>
      </c>
      <c r="B1" s="13" t="s">
        <v>43</v>
      </c>
      <c r="C1" s="13" t="s">
        <v>12</v>
      </c>
      <c r="D1" s="13" t="s">
        <v>11</v>
      </c>
      <c r="E1" s="13" t="s">
        <v>42</v>
      </c>
      <c r="F1" s="13" t="s">
        <v>23</v>
      </c>
      <c r="G1" s="13" t="s">
        <v>22</v>
      </c>
      <c r="H1" s="13" t="s">
        <v>5</v>
      </c>
      <c r="I1" s="13" t="s">
        <v>6</v>
      </c>
      <c r="J1" s="13" t="s">
        <v>36</v>
      </c>
      <c r="K1" s="20" t="s">
        <v>13</v>
      </c>
      <c r="L1" s="13" t="s">
        <v>17</v>
      </c>
      <c r="M1" s="13" t="s">
        <v>18</v>
      </c>
      <c r="N1" s="13" t="s">
        <v>14</v>
      </c>
      <c r="O1" s="13" t="s">
        <v>52</v>
      </c>
      <c r="P1" s="13" t="s">
        <v>15</v>
      </c>
    </row>
    <row r="2" spans="1:16" x14ac:dyDescent="0.25">
      <c r="A2" s="11">
        <v>1</v>
      </c>
      <c r="B2" s="11" t="s">
        <v>45</v>
      </c>
      <c r="C2" s="11">
        <v>8946756436</v>
      </c>
      <c r="D2" s="11" t="s">
        <v>35</v>
      </c>
      <c r="E2" s="11">
        <v>45845</v>
      </c>
      <c r="F2" s="11">
        <v>1001</v>
      </c>
      <c r="G2" s="11" t="s">
        <v>25</v>
      </c>
      <c r="H2" s="11">
        <v>4</v>
      </c>
      <c r="I2" s="11">
        <v>550</v>
      </c>
      <c r="J2" s="11">
        <v>2200</v>
      </c>
      <c r="K2" s="19">
        <v>18</v>
      </c>
      <c r="L2" s="11">
        <v>198</v>
      </c>
      <c r="M2" s="11">
        <v>198</v>
      </c>
      <c r="N2" s="11"/>
      <c r="O2" s="11" t="s">
        <v>39</v>
      </c>
      <c r="P2" s="11">
        <v>2596</v>
      </c>
    </row>
    <row r="3" spans="1:16" x14ac:dyDescent="0.25">
      <c r="A3" s="12">
        <v>2</v>
      </c>
      <c r="B3" s="12" t="s">
        <v>46</v>
      </c>
      <c r="C3" s="12">
        <v>5896432175</v>
      </c>
      <c r="D3" s="12" t="s">
        <v>35</v>
      </c>
      <c r="E3" s="12">
        <v>45846</v>
      </c>
      <c r="F3" s="12">
        <v>1004</v>
      </c>
      <c r="G3" s="12" t="s">
        <v>27</v>
      </c>
      <c r="H3" s="12">
        <v>5</v>
      </c>
      <c r="I3" s="12">
        <v>3500</v>
      </c>
      <c r="J3" s="12">
        <v>17500</v>
      </c>
      <c r="K3" s="21">
        <v>18</v>
      </c>
      <c r="L3" s="12">
        <v>1575</v>
      </c>
      <c r="M3" s="12">
        <v>1575</v>
      </c>
      <c r="N3" s="12"/>
      <c r="O3" s="12" t="s">
        <v>39</v>
      </c>
      <c r="P3" s="12">
        <v>20650</v>
      </c>
    </row>
    <row r="4" spans="1:16" x14ac:dyDescent="0.25">
      <c r="A4" s="23"/>
      <c r="B4" s="23"/>
      <c r="C4" s="23"/>
      <c r="D4" s="23"/>
      <c r="E4" s="23"/>
      <c r="F4" s="23"/>
      <c r="G4" s="23" t="s">
        <v>39</v>
      </c>
      <c r="H4" s="23"/>
      <c r="I4" s="23"/>
      <c r="J4" s="23">
        <v>0</v>
      </c>
      <c r="K4" s="24"/>
      <c r="L4" s="23" t="s">
        <v>39</v>
      </c>
      <c r="M4" s="23" t="s">
        <v>39</v>
      </c>
      <c r="N4" s="23"/>
      <c r="O4" s="23" t="s">
        <v>39</v>
      </c>
      <c r="P4" s="23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 tint="0.59999389629810485"/>
  </sheetPr>
  <dimension ref="A1:H39"/>
  <sheetViews>
    <sheetView workbookViewId="0">
      <selection activeCell="C11" sqref="C11"/>
    </sheetView>
  </sheetViews>
  <sheetFormatPr defaultRowHeight="15" x14ac:dyDescent="0.25"/>
  <cols>
    <col min="1" max="1" width="15" style="8" customWidth="1"/>
    <col min="2" max="2" width="15.42578125" style="8" customWidth="1"/>
    <col min="3" max="3" width="14.7109375" style="8" customWidth="1"/>
    <col min="4" max="4" width="11.28515625" style="8" customWidth="1"/>
    <col min="5" max="5" width="12.7109375" style="8" customWidth="1"/>
    <col min="6" max="6" width="16.85546875" style="8" customWidth="1"/>
    <col min="8" max="8" width="12.85546875" bestFit="1" customWidth="1"/>
    <col min="12" max="12" width="13.28515625" bestFit="1" customWidth="1"/>
    <col min="13" max="13" width="14" bestFit="1" customWidth="1"/>
    <col min="14" max="14" width="14.85546875" bestFit="1" customWidth="1"/>
  </cols>
  <sheetData>
    <row r="1" spans="1:8" x14ac:dyDescent="0.25">
      <c r="A1" s="22" t="s">
        <v>23</v>
      </c>
      <c r="B1" s="22" t="s">
        <v>21</v>
      </c>
      <c r="C1" s="22" t="s">
        <v>8</v>
      </c>
      <c r="D1" s="22" t="s">
        <v>9</v>
      </c>
      <c r="E1" s="22" t="s">
        <v>34</v>
      </c>
      <c r="F1" s="22" t="s">
        <v>10</v>
      </c>
    </row>
    <row r="2" spans="1:8" x14ac:dyDescent="0.25">
      <c r="A2" s="11">
        <v>1001</v>
      </c>
      <c r="B2" s="25" t="str" cm="1">
        <f t="array" ref="B2">stock_product_name1</f>
        <v>Keyboard</v>
      </c>
      <c r="C2" s="25" cm="1">
        <f t="array" ref="C2">Stock_purchase_qty</f>
        <v>50</v>
      </c>
      <c r="D2" s="25" cm="1">
        <f t="array" ref="D2">Stock_sale_qty</f>
        <v>25</v>
      </c>
      <c r="E2" s="25" cm="1">
        <f t="array" ref="E2">Stock_Return_Qty</f>
        <v>4</v>
      </c>
      <c r="F2" s="25" cm="1">
        <f t="array" ref="F2">Stock_remaining_qty</f>
        <v>29</v>
      </c>
    </row>
    <row r="3" spans="1:8" x14ac:dyDescent="0.25">
      <c r="A3" s="11">
        <v>1004</v>
      </c>
      <c r="B3" s="25" t="str" cm="1">
        <f t="array" ref="B3">stock_product_name1</f>
        <v>CPU</v>
      </c>
      <c r="C3" s="25" cm="1">
        <f t="array" ref="C3">Stock_purchase_qty</f>
        <v>50</v>
      </c>
      <c r="D3" s="25" cm="1">
        <f t="array" ref="D3">Stock_sale_qty</f>
        <v>25</v>
      </c>
      <c r="E3" s="25" cm="1">
        <f t="array" ref="E3">Stock_Return_Qty</f>
        <v>5</v>
      </c>
      <c r="F3" s="25" cm="1">
        <f t="array" ref="F3">Stock_remaining_qty</f>
        <v>30</v>
      </c>
    </row>
    <row r="4" spans="1:8" x14ac:dyDescent="0.25">
      <c r="A4" s="11">
        <v>1002</v>
      </c>
      <c r="B4" s="25" t="str" cm="1">
        <f t="array" ref="B4">stock_product_name1</f>
        <v>Mouse</v>
      </c>
      <c r="C4" s="25" cm="1">
        <f t="array" ref="C4">Stock_purchase_qty</f>
        <v>100</v>
      </c>
      <c r="D4" s="25" cm="1">
        <f t="array" ref="D4">Stock_sale_qty</f>
        <v>0</v>
      </c>
      <c r="E4" s="25" cm="1">
        <f t="array" ref="E4">Stock_Return_Qty</f>
        <v>0</v>
      </c>
      <c r="F4" s="25" cm="1">
        <f t="array" ref="F4">Stock_remaining_qty</f>
        <v>100</v>
      </c>
    </row>
    <row r="5" spans="1:8" x14ac:dyDescent="0.25">
      <c r="A5" s="11">
        <v>1005</v>
      </c>
      <c r="B5" s="25" t="str" cm="1">
        <f t="array" ref="B5">stock_product_name1</f>
        <v>Speaker</v>
      </c>
      <c r="C5" s="25" cm="1">
        <f t="array" ref="C5">Stock_purchase_qty</f>
        <v>50</v>
      </c>
      <c r="D5" s="25" cm="1">
        <f t="array" ref="D5">Stock_sale_qty</f>
        <v>0</v>
      </c>
      <c r="E5" s="25" cm="1">
        <f t="array" ref="E5">Stock_Return_Qty</f>
        <v>0</v>
      </c>
      <c r="F5" s="25" cm="1">
        <f t="array" ref="F5">Stock_remaining_qty</f>
        <v>50</v>
      </c>
      <c r="H5" s="26" t="s">
        <v>23</v>
      </c>
    </row>
    <row r="6" spans="1:8" x14ac:dyDescent="0.25">
      <c r="A6" s="11">
        <v>1010</v>
      </c>
      <c r="B6" s="25" t="str" cm="1">
        <f t="array" ref="B6">stock_product_name1</f>
        <v>Hard Disk</v>
      </c>
      <c r="C6" s="25" cm="1">
        <f t="array" ref="C6">Stock_purchase_qty</f>
        <v>50</v>
      </c>
      <c r="D6" s="25" cm="1">
        <f t="array" ref="D6">Stock_sale_qty</f>
        <v>0</v>
      </c>
      <c r="E6" s="25" cm="1">
        <f t="array" ref="E6">Stock_Return_Qty</f>
        <v>0</v>
      </c>
      <c r="F6" s="25" cm="1">
        <f t="array" ref="F6">Stock_remaining_qty</f>
        <v>50</v>
      </c>
      <c r="H6" s="26" t="str">
        <f>"&lt;&gt;"</f>
        <v>&lt;&gt;</v>
      </c>
    </row>
    <row r="7" spans="1:8" x14ac:dyDescent="0.25">
      <c r="A7" s="11">
        <v>1009</v>
      </c>
      <c r="B7" s="25" t="str" cm="1">
        <f t="array" ref="B7">stock_product_name1</f>
        <v>Graphic Card</v>
      </c>
      <c r="C7" s="25" cm="1">
        <f t="array" ref="C7">Stock_purchase_qty</f>
        <v>25</v>
      </c>
      <c r="D7" s="25" cm="1">
        <f t="array" ref="D7">Stock_sale_qty</f>
        <v>0</v>
      </c>
      <c r="E7" s="25" cm="1">
        <f t="array" ref="E7">Stock_Return_Qty</f>
        <v>0</v>
      </c>
      <c r="F7" s="25" cm="1">
        <f t="array" ref="F7">Stock_remaining_qty</f>
        <v>25</v>
      </c>
    </row>
    <row r="8" spans="1:8" x14ac:dyDescent="0.25">
      <c r="A8" s="11">
        <v>1003</v>
      </c>
      <c r="B8" s="25" t="str" cm="1">
        <f t="array" ref="B8">stock_product_name1</f>
        <v>Monitor</v>
      </c>
      <c r="C8" s="25" cm="1">
        <f t="array" ref="C8">Stock_purchase_qty</f>
        <v>525</v>
      </c>
      <c r="D8" s="25" cm="1">
        <f t="array" ref="D8">Stock_sale_qty</f>
        <v>0</v>
      </c>
      <c r="E8" s="25" cm="1">
        <f t="array" ref="E8">Stock_Return_Qty</f>
        <v>0</v>
      </c>
      <c r="F8" s="25" cm="1">
        <f t="array" ref="F8">Stock_remaining_qty</f>
        <v>525</v>
      </c>
    </row>
    <row r="9" spans="1:8" x14ac:dyDescent="0.25">
      <c r="A9" s="11">
        <v>1006</v>
      </c>
      <c r="B9" s="25" t="str" cm="1">
        <f t="array" ref="B9">stock_product_name1</f>
        <v>Home Theator</v>
      </c>
      <c r="C9" s="25" cm="1">
        <f t="array" ref="C9">Stock_purchase_qty</f>
        <v>10</v>
      </c>
      <c r="D9" s="25" cm="1">
        <f t="array" ref="D9">Stock_sale_qty</f>
        <v>0</v>
      </c>
      <c r="E9" s="25" cm="1">
        <f t="array" ref="E9">Stock_Return_Qty</f>
        <v>0</v>
      </c>
      <c r="F9" s="25" cm="1">
        <f t="array" ref="F9">Stock_remaining_qty</f>
        <v>10</v>
      </c>
    </row>
    <row r="10" spans="1:8" x14ac:dyDescent="0.25">
      <c r="A10" s="11">
        <v>1007</v>
      </c>
      <c r="B10" s="25" t="str" cm="1">
        <f t="array" ref="B10">stock_product_name1</f>
        <v>Cabinet</v>
      </c>
      <c r="C10" s="25" cm="1">
        <f t="array" ref="C10">Stock_purchase_qty</f>
        <v>15</v>
      </c>
      <c r="D10" s="25" cm="1">
        <f t="array" ref="D10">Stock_sale_qty</f>
        <v>0</v>
      </c>
      <c r="E10" s="25" cm="1">
        <f t="array" ref="E10">Stock_Return_Qty</f>
        <v>0</v>
      </c>
      <c r="F10" s="25" cm="1">
        <f t="array" ref="F10">Stock_remaining_qty</f>
        <v>15</v>
      </c>
    </row>
    <row r="11" spans="1:8" x14ac:dyDescent="0.25">
      <c r="A11" s="11">
        <v>1008</v>
      </c>
      <c r="B11" s="25" t="str" cm="1">
        <f t="array" ref="B11">stock_product_name1</f>
        <v>Motherboard</v>
      </c>
      <c r="C11" s="25" cm="1">
        <f t="array" ref="C11">Stock_purchase_qty</f>
        <v>25</v>
      </c>
      <c r="D11" s="25" cm="1">
        <f t="array" ref="D11">Stock_sale_qty</f>
        <v>0</v>
      </c>
      <c r="E11" s="25" cm="1">
        <f t="array" ref="E11">Stock_Return_Qty</f>
        <v>0</v>
      </c>
      <c r="F11" s="25" cm="1">
        <f t="array" ref="F11">Stock_remaining_qty</f>
        <v>25</v>
      </c>
    </row>
    <row r="12" spans="1:8" x14ac:dyDescent="0.25">
      <c r="A12" s="25"/>
      <c r="B12" s="25" t="str" cm="1">
        <f t="array" ref="B12">stock_product_name1</f>
        <v/>
      </c>
      <c r="C12" s="25" cm="1">
        <f t="array" ref="C12">Stock_purchase_qty</f>
        <v>0</v>
      </c>
      <c r="D12" s="25" cm="1">
        <f t="array" ref="D12">Stock_sale_qty</f>
        <v>0</v>
      </c>
      <c r="E12" s="25" cm="1">
        <f t="array" ref="E12">Stock_Return_Qty</f>
        <v>0</v>
      </c>
      <c r="F12" s="25" cm="1">
        <f t="array" ref="F12">Stock_remaining_qty</f>
        <v>0</v>
      </c>
    </row>
    <row r="13" spans="1:8" x14ac:dyDescent="0.25">
      <c r="A13" s="25"/>
      <c r="B13" s="25" t="str" cm="1">
        <f t="array" ref="B13">stock_product_name1</f>
        <v/>
      </c>
      <c r="C13" s="25" cm="1">
        <f t="array" ref="C13">Stock_purchase_qty</f>
        <v>0</v>
      </c>
      <c r="D13" s="25" cm="1">
        <f t="array" ref="D13">Stock_sale_qty</f>
        <v>0</v>
      </c>
      <c r="E13" s="25" cm="1">
        <f t="array" ref="E13">Stock_Return_Qty</f>
        <v>0</v>
      </c>
      <c r="F13" s="25" cm="1">
        <f t="array" ref="F13">Stock_remaining_qty</f>
        <v>0</v>
      </c>
    </row>
    <row r="14" spans="1:8" x14ac:dyDescent="0.25">
      <c r="A14" s="25"/>
      <c r="B14" s="25" t="str" cm="1">
        <f t="array" ref="B14">stock_product_name1</f>
        <v/>
      </c>
      <c r="C14" s="25" cm="1">
        <f t="array" ref="C14">Stock_purchase_qty</f>
        <v>0</v>
      </c>
      <c r="D14" s="25" cm="1">
        <f t="array" ref="D14">Stock_sale_qty</f>
        <v>0</v>
      </c>
      <c r="E14" s="25" cm="1">
        <f t="array" ref="E14">Stock_Return_Qty</f>
        <v>0</v>
      </c>
      <c r="F14" s="25" cm="1">
        <f t="array" ref="F14">Stock_remaining_qty</f>
        <v>0</v>
      </c>
    </row>
    <row r="15" spans="1:8" x14ac:dyDescent="0.25">
      <c r="A15" s="25"/>
      <c r="B15" s="25" t="str" cm="1">
        <f t="array" ref="B15">stock_product_name1</f>
        <v/>
      </c>
      <c r="C15" s="25" cm="1">
        <f t="array" ref="C15">Stock_purchase_qty</f>
        <v>0</v>
      </c>
      <c r="D15" s="25" cm="1">
        <f t="array" ref="D15">Stock_sale_qty</f>
        <v>0</v>
      </c>
      <c r="E15" s="25" cm="1">
        <f t="array" ref="E15">Stock_Return_Qty</f>
        <v>0</v>
      </c>
      <c r="F15" s="25" cm="1">
        <f t="array" ref="F15">Stock_remaining_qty</f>
        <v>0</v>
      </c>
    </row>
    <row r="16" spans="1:8" x14ac:dyDescent="0.25">
      <c r="A16" s="25"/>
      <c r="B16" s="25" t="str" cm="1">
        <f t="array" ref="B16">stock_product_name1</f>
        <v/>
      </c>
      <c r="C16" s="25" cm="1">
        <f t="array" ref="C16">Stock_purchase_qty</f>
        <v>0</v>
      </c>
      <c r="D16" s="25" cm="1">
        <f t="array" ref="D16">Stock_sale_qty</f>
        <v>0</v>
      </c>
      <c r="E16" s="25" cm="1">
        <f t="array" ref="E16">Stock_Return_Qty</f>
        <v>0</v>
      </c>
      <c r="F16" s="25" cm="1">
        <f t="array" ref="F16">Stock_remaining_qty</f>
        <v>0</v>
      </c>
    </row>
    <row r="17" spans="2:2" customFormat="1" x14ac:dyDescent="0.25">
      <c r="B17" t="str" cm="1">
        <f t="array" ref="B17">stock_product_name1</f>
        <v/>
      </c>
    </row>
    <row r="18" spans="2:2" customFormat="1" x14ac:dyDescent="0.25">
      <c r="B18" t="str" cm="1">
        <f t="array" ref="B18">stock_product_name1</f>
        <v/>
      </c>
    </row>
    <row r="19" spans="2:2" customFormat="1" x14ac:dyDescent="0.25">
      <c r="B19" t="str" cm="1">
        <f t="array" ref="B19">stock_product_name1</f>
        <v/>
      </c>
    </row>
    <row r="20" spans="2:2" customFormat="1" x14ac:dyDescent="0.25">
      <c r="B20" t="str" cm="1">
        <f t="array" ref="B20">stock_product_name1</f>
        <v/>
      </c>
    </row>
    <row r="21" spans="2:2" customFormat="1" x14ac:dyDescent="0.25">
      <c r="B21" t="str" cm="1">
        <f t="array" ref="B21">stock_product_name1</f>
        <v/>
      </c>
    </row>
    <row r="22" spans="2:2" customFormat="1" x14ac:dyDescent="0.25">
      <c r="B22" t="str" cm="1">
        <f t="array" ref="B22">stock_product_name1</f>
        <v/>
      </c>
    </row>
    <row r="23" spans="2:2" customFormat="1" x14ac:dyDescent="0.25">
      <c r="B23" t="str" cm="1">
        <f t="array" ref="B23">stock_product_name1</f>
        <v/>
      </c>
    </row>
    <row r="24" spans="2:2" customFormat="1" x14ac:dyDescent="0.25">
      <c r="B24" t="str" cm="1">
        <f t="array" ref="B24">stock_product_name1</f>
        <v/>
      </c>
    </row>
    <row r="25" spans="2:2" customFormat="1" x14ac:dyDescent="0.25">
      <c r="B25" t="str" cm="1">
        <f t="array" ref="B25">stock_product_name1</f>
        <v/>
      </c>
    </row>
    <row r="26" spans="2:2" customFormat="1" x14ac:dyDescent="0.25">
      <c r="B26" t="str" cm="1">
        <f t="array" ref="B26">stock_product_name1</f>
        <v/>
      </c>
    </row>
    <row r="27" spans="2:2" customFormat="1" x14ac:dyDescent="0.25">
      <c r="B27" t="str" cm="1">
        <f t="array" ref="B27">stock_product_name1</f>
        <v/>
      </c>
    </row>
    <row r="28" spans="2:2" customFormat="1" x14ac:dyDescent="0.25">
      <c r="B28" t="str" cm="1">
        <f t="array" ref="B28">stock_product_name1</f>
        <v/>
      </c>
    </row>
    <row r="29" spans="2:2" customFormat="1" x14ac:dyDescent="0.25">
      <c r="B29" t="str" cm="1">
        <f t="array" ref="B29">stock_product_name1</f>
        <v/>
      </c>
    </row>
    <row r="30" spans="2:2" customFormat="1" x14ac:dyDescent="0.25">
      <c r="B30" t="str" cm="1">
        <f t="array" ref="B30">stock_product_name1</f>
        <v/>
      </c>
    </row>
    <row r="31" spans="2:2" customFormat="1" x14ac:dyDescent="0.25"/>
    <row r="32" spans="2: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</sheetData>
  <conditionalFormatting sqref="C1:F1">
    <cfRule type="expression" dxfId="9" priority="8">
      <formula>C1=0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2"/>
  <sheetViews>
    <sheetView workbookViewId="0">
      <selection activeCell="G1" sqref="G1:J34"/>
    </sheetView>
  </sheetViews>
  <sheetFormatPr defaultRowHeight="15" x14ac:dyDescent="0.25"/>
  <cols>
    <col min="1" max="1" width="13.28515625" bestFit="1" customWidth="1"/>
    <col min="2" max="2" width="14" bestFit="1" customWidth="1"/>
  </cols>
  <sheetData>
    <row r="1" spans="1:2" x14ac:dyDescent="0.25">
      <c r="A1" s="8" t="s">
        <v>19</v>
      </c>
      <c r="B1" s="8" t="s">
        <v>20</v>
      </c>
    </row>
    <row r="2" spans="1:2" x14ac:dyDescent="0.25">
      <c r="A2" s="8">
        <v>1001</v>
      </c>
      <c r="B2" s="8" t="s">
        <v>25</v>
      </c>
    </row>
    <row r="3" spans="1:2" x14ac:dyDescent="0.25">
      <c r="A3" s="8">
        <v>1002</v>
      </c>
      <c r="B3" s="8" t="s">
        <v>16</v>
      </c>
    </row>
    <row r="4" spans="1:2" x14ac:dyDescent="0.25">
      <c r="A4" s="8">
        <v>1003</v>
      </c>
      <c r="B4" s="8" t="s">
        <v>26</v>
      </c>
    </row>
    <row r="5" spans="1:2" x14ac:dyDescent="0.25">
      <c r="A5" s="8">
        <v>1004</v>
      </c>
      <c r="B5" s="8" t="s">
        <v>27</v>
      </c>
    </row>
    <row r="6" spans="1:2" x14ac:dyDescent="0.25">
      <c r="A6" s="8">
        <v>1005</v>
      </c>
      <c r="B6" s="8" t="s">
        <v>28</v>
      </c>
    </row>
    <row r="7" spans="1:2" x14ac:dyDescent="0.25">
      <c r="A7" s="8">
        <v>1006</v>
      </c>
      <c r="B7" s="8" t="s">
        <v>33</v>
      </c>
    </row>
    <row r="8" spans="1:2" x14ac:dyDescent="0.25">
      <c r="A8" s="8">
        <v>1007</v>
      </c>
      <c r="B8" s="8" t="s">
        <v>29</v>
      </c>
    </row>
    <row r="9" spans="1:2" x14ac:dyDescent="0.25">
      <c r="A9" s="8">
        <v>1008</v>
      </c>
      <c r="B9" s="8" t="s">
        <v>30</v>
      </c>
    </row>
    <row r="10" spans="1:2" x14ac:dyDescent="0.25">
      <c r="A10" s="8">
        <v>1009</v>
      </c>
      <c r="B10" s="8" t="s">
        <v>31</v>
      </c>
    </row>
    <row r="11" spans="1:2" x14ac:dyDescent="0.25">
      <c r="A11" s="8">
        <v>1010</v>
      </c>
      <c r="B11" s="8" t="s">
        <v>32</v>
      </c>
    </row>
    <row r="12" spans="1:2" x14ac:dyDescent="0.25">
      <c r="A12" s="27"/>
      <c r="B12" s="2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Entry</vt:lpstr>
      <vt:lpstr>Purchase</vt:lpstr>
      <vt:lpstr>Sales</vt:lpstr>
      <vt:lpstr>Return</vt:lpstr>
      <vt:lpstr>Stock</vt:lpstr>
      <vt:lpstr>Sheet2</vt:lpstr>
      <vt:lpstr>Stock!Criteria</vt:lpstr>
      <vt:lpstr>Stock!Extract</vt:lpstr>
      <vt:lpstr>Product_code</vt:lpstr>
      <vt:lpstr>Product_Name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Rsatish</dc:creator>
  <cp:lastModifiedBy>Rsatish</cp:lastModifiedBy>
  <dcterms:created xsi:type="dcterms:W3CDTF">2025-06-24T13:38:13Z</dcterms:created>
  <dcterms:modified xsi:type="dcterms:W3CDTF">2026-03-03T11:22:01Z</dcterms:modified>
</cp:coreProperties>
</file>