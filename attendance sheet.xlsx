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7excel\project 222\"/>
    </mc:Choice>
  </mc:AlternateContent>
  <bookViews>
    <workbookView xWindow="-120" yWindow="-120" windowWidth="20730" windowHeight="11160"/>
  </bookViews>
  <sheets>
    <sheet name="Home" sheetId="13" r:id="rId1"/>
    <sheet name="Jan" sheetId="12" r:id="rId2"/>
    <sheet name="Feb" sheetId="15" r:id="rId3"/>
    <sheet name="Mar" sheetId="16" r:id="rId4"/>
    <sheet name="Apr" sheetId="17" r:id="rId5"/>
    <sheet name="May" sheetId="18" r:id="rId6"/>
    <sheet name="Jun" sheetId="19" r:id="rId7"/>
    <sheet name="Jul" sheetId="20" r:id="rId8"/>
    <sheet name="Aug" sheetId="21" r:id="rId9"/>
    <sheet name="Sep" sheetId="22" r:id="rId10"/>
    <sheet name="Oct" sheetId="23" r:id="rId11"/>
    <sheet name="Nov" sheetId="24" r:id="rId12"/>
    <sheet name="Dec" sheetId="25" r:id="rId13"/>
    <sheet name="data sheet" sheetId="14" state="hidden" r:id="rId1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9" i="15" l="1"/>
  <c r="A1" i="25"/>
  <c r="A1" i="24"/>
  <c r="A1" i="23"/>
  <c r="A1" i="22"/>
  <c r="A1" i="21"/>
  <c r="A1" i="20"/>
  <c r="A1" i="19"/>
  <c r="A1" i="18"/>
  <c r="P4" i="12" l="1"/>
  <c r="A1" i="12" s="1"/>
  <c r="BK21" i="25"/>
  <c r="BF21" i="25"/>
  <c r="BE21" i="25"/>
  <c r="BB21" i="25"/>
  <c r="BA21" i="25"/>
  <c r="AZ21" i="25"/>
  <c r="BC21" i="25" s="1"/>
  <c r="BD21" i="25" s="1"/>
  <c r="AW21" i="25"/>
  <c r="AV21" i="25"/>
  <c r="AU21" i="25"/>
  <c r="AT21" i="25"/>
  <c r="AS21" i="25"/>
  <c r="AR21" i="25"/>
  <c r="AX21" i="25" s="1"/>
  <c r="K21" i="25"/>
  <c r="A21" i="25"/>
  <c r="BK20" i="25"/>
  <c r="BF20" i="25"/>
  <c r="BE20" i="25"/>
  <c r="BB20" i="25"/>
  <c r="BA20" i="25"/>
  <c r="BC20" i="25" s="1"/>
  <c r="BD20" i="25" s="1"/>
  <c r="AZ20" i="25"/>
  <c r="AW20" i="25"/>
  <c r="AV20" i="25"/>
  <c r="AU20" i="25"/>
  <c r="AT20" i="25"/>
  <c r="AS20" i="25"/>
  <c r="AR20" i="25"/>
  <c r="AX20" i="25" s="1"/>
  <c r="K20" i="25"/>
  <c r="A20" i="25"/>
  <c r="BK19" i="25"/>
  <c r="BF19" i="25"/>
  <c r="BE19" i="25"/>
  <c r="BB19" i="25"/>
  <c r="BC19" i="25" s="1"/>
  <c r="BD19" i="25" s="1"/>
  <c r="BA19" i="25"/>
  <c r="AZ19" i="25"/>
  <c r="AW19" i="25"/>
  <c r="AV19" i="25"/>
  <c r="AU19" i="25"/>
  <c r="AT19" i="25"/>
  <c r="AX19" i="25" s="1"/>
  <c r="AS19" i="25"/>
  <c r="AR19" i="25"/>
  <c r="K19" i="25"/>
  <c r="A19" i="25"/>
  <c r="BK18" i="25"/>
  <c r="BF18" i="25"/>
  <c r="BE18" i="25"/>
  <c r="BC18" i="25"/>
  <c r="BD18" i="25" s="1"/>
  <c r="BL18" i="25" s="1"/>
  <c r="BB18" i="25"/>
  <c r="BA18" i="25"/>
  <c r="AZ18" i="25"/>
  <c r="AW18" i="25"/>
  <c r="AV18" i="25"/>
  <c r="AU18" i="25"/>
  <c r="AT18" i="25"/>
  <c r="BG18" i="25" s="1"/>
  <c r="BH18" i="25" s="1"/>
  <c r="AS18" i="25"/>
  <c r="AR18" i="25"/>
  <c r="K18" i="25"/>
  <c r="A18" i="25"/>
  <c r="BK17" i="25"/>
  <c r="BF17" i="25"/>
  <c r="BE17" i="25"/>
  <c r="BD17" i="25"/>
  <c r="BB17" i="25"/>
  <c r="BA17" i="25"/>
  <c r="AZ17" i="25"/>
  <c r="BC17" i="25" s="1"/>
  <c r="AW17" i="25"/>
  <c r="AV17" i="25"/>
  <c r="AU17" i="25"/>
  <c r="AT17" i="25"/>
  <c r="AS17" i="25"/>
  <c r="AR17" i="25"/>
  <c r="K17" i="25"/>
  <c r="A17" i="25"/>
  <c r="BK16" i="25"/>
  <c r="BF16" i="25"/>
  <c r="BE16" i="25"/>
  <c r="BB16" i="25"/>
  <c r="BA16" i="25"/>
  <c r="BC16" i="25" s="1"/>
  <c r="BD16" i="25" s="1"/>
  <c r="AZ16" i="25"/>
  <c r="AW16" i="25"/>
  <c r="AV16" i="25"/>
  <c r="AU16" i="25"/>
  <c r="AT16" i="25"/>
  <c r="AS16" i="25"/>
  <c r="AR16" i="25"/>
  <c r="AX16" i="25" s="1"/>
  <c r="K16" i="25"/>
  <c r="A16" i="25"/>
  <c r="BK15" i="25"/>
  <c r="BF15" i="25"/>
  <c r="BE15" i="25"/>
  <c r="BB15" i="25"/>
  <c r="BC15" i="25" s="1"/>
  <c r="BD15" i="25" s="1"/>
  <c r="BA15" i="25"/>
  <c r="AZ15" i="25"/>
  <c r="AW15" i="25"/>
  <c r="AV15" i="25"/>
  <c r="AU15" i="25"/>
  <c r="AT15" i="25"/>
  <c r="AS15" i="25"/>
  <c r="AR15" i="25"/>
  <c r="K15" i="25"/>
  <c r="A15" i="25"/>
  <c r="BK14" i="25"/>
  <c r="BF14" i="25"/>
  <c r="BE14" i="25"/>
  <c r="BC14" i="25"/>
  <c r="BD14" i="25" s="1"/>
  <c r="BL14" i="25" s="1"/>
  <c r="BB14" i="25"/>
  <c r="BA14" i="25"/>
  <c r="AZ14" i="25"/>
  <c r="AW14" i="25"/>
  <c r="AV14" i="25"/>
  <c r="AU14" i="25"/>
  <c r="AT14" i="25"/>
  <c r="BG14" i="25" s="1"/>
  <c r="BH14" i="25" s="1"/>
  <c r="AS14" i="25"/>
  <c r="AR14" i="25"/>
  <c r="K14" i="25"/>
  <c r="A14" i="25"/>
  <c r="BK13" i="25"/>
  <c r="BF13" i="25"/>
  <c r="BE13" i="25"/>
  <c r="BB13" i="25"/>
  <c r="BA13" i="25"/>
  <c r="AZ13" i="25"/>
  <c r="BC13" i="25" s="1"/>
  <c r="BD13" i="25" s="1"/>
  <c r="AW13" i="25"/>
  <c r="AV13" i="25"/>
  <c r="AU13" i="25"/>
  <c r="AT13" i="25"/>
  <c r="AS13" i="25"/>
  <c r="AR13" i="25"/>
  <c r="K13" i="25"/>
  <c r="A13" i="25"/>
  <c r="BK12" i="25"/>
  <c r="BF12" i="25"/>
  <c r="BE12" i="25"/>
  <c r="BB12" i="25"/>
  <c r="BA12" i="25"/>
  <c r="BC12" i="25" s="1"/>
  <c r="BD12" i="25" s="1"/>
  <c r="AZ12" i="25"/>
  <c r="AW12" i="25"/>
  <c r="AV12" i="25"/>
  <c r="AU12" i="25"/>
  <c r="AT12" i="25"/>
  <c r="AS12" i="25"/>
  <c r="AR12" i="25"/>
  <c r="AX12" i="25" s="1"/>
  <c r="K12" i="25"/>
  <c r="A12" i="25"/>
  <c r="BK11" i="25"/>
  <c r="BF11" i="25"/>
  <c r="BE11" i="25"/>
  <c r="BB11" i="25"/>
  <c r="BC11" i="25" s="1"/>
  <c r="BD11" i="25" s="1"/>
  <c r="BA11" i="25"/>
  <c r="AZ11" i="25"/>
  <c r="AW11" i="25"/>
  <c r="AV11" i="25"/>
  <c r="AU11" i="25"/>
  <c r="AT11" i="25"/>
  <c r="AS11" i="25"/>
  <c r="AR11" i="25"/>
  <c r="K11" i="25"/>
  <c r="A11" i="25"/>
  <c r="BK10" i="25"/>
  <c r="BG10" i="25"/>
  <c r="BH10" i="25" s="1"/>
  <c r="BF10" i="25"/>
  <c r="BE10" i="25"/>
  <c r="BC10" i="25"/>
  <c r="BD10" i="25" s="1"/>
  <c r="BL10" i="25" s="1"/>
  <c r="BB10" i="25"/>
  <c r="BA10" i="25"/>
  <c r="AZ10" i="25"/>
  <c r="AW10" i="25"/>
  <c r="AV10" i="25"/>
  <c r="AU10" i="25"/>
  <c r="AT10" i="25"/>
  <c r="AX10" i="25" s="1"/>
  <c r="AS10" i="25"/>
  <c r="AR10" i="25"/>
  <c r="K10" i="25"/>
  <c r="A10" i="25"/>
  <c r="BK9" i="25"/>
  <c r="BF9" i="25"/>
  <c r="BE9" i="25"/>
  <c r="BD9" i="25"/>
  <c r="BB9" i="25"/>
  <c r="BA9" i="25"/>
  <c r="AZ9" i="25"/>
  <c r="BC9" i="25" s="1"/>
  <c r="AW9" i="25"/>
  <c r="AV9" i="25"/>
  <c r="AU9" i="25"/>
  <c r="AT9" i="25"/>
  <c r="AS9" i="25"/>
  <c r="AR9" i="25"/>
  <c r="K9" i="25"/>
  <c r="A9" i="25"/>
  <c r="M8" i="25"/>
  <c r="P4" i="25"/>
  <c r="P5" i="25" s="1"/>
  <c r="BB3" i="25"/>
  <c r="AX3" i="25"/>
  <c r="BC1" i="25"/>
  <c r="BG21" i="25" s="1"/>
  <c r="BH21" i="25" s="1"/>
  <c r="BK21" i="24"/>
  <c r="BF21" i="24"/>
  <c r="BE21" i="24"/>
  <c r="BB21" i="24"/>
  <c r="BA21" i="24"/>
  <c r="AZ21" i="24"/>
  <c r="BC21" i="24" s="1"/>
  <c r="BD21" i="24" s="1"/>
  <c r="AW21" i="24"/>
  <c r="AV21" i="24"/>
  <c r="AU21" i="24"/>
  <c r="AT21" i="24"/>
  <c r="AS21" i="24"/>
  <c r="AR21" i="24"/>
  <c r="AX21" i="24" s="1"/>
  <c r="K21" i="24"/>
  <c r="A21" i="24"/>
  <c r="BK20" i="24"/>
  <c r="BF20" i="24"/>
  <c r="BE20" i="24"/>
  <c r="BB20" i="24"/>
  <c r="BA20" i="24"/>
  <c r="AZ20" i="24"/>
  <c r="BC20" i="24" s="1"/>
  <c r="BD20" i="24" s="1"/>
  <c r="AW20" i="24"/>
  <c r="AV20" i="24"/>
  <c r="AU20" i="24"/>
  <c r="AT20" i="24"/>
  <c r="AS20" i="24"/>
  <c r="AR20" i="24"/>
  <c r="AX20" i="24" s="1"/>
  <c r="K20" i="24"/>
  <c r="A20" i="24"/>
  <c r="BK19" i="24"/>
  <c r="BF19" i="24"/>
  <c r="BE19" i="24"/>
  <c r="BB19" i="24"/>
  <c r="BC19" i="24" s="1"/>
  <c r="BD19" i="24" s="1"/>
  <c r="BA19" i="24"/>
  <c r="AZ19" i="24"/>
  <c r="AW19" i="24"/>
  <c r="AV19" i="24"/>
  <c r="AU19" i="24"/>
  <c r="AT19" i="24"/>
  <c r="AX19" i="24" s="1"/>
  <c r="AS19" i="24"/>
  <c r="AR19" i="24"/>
  <c r="K19" i="24"/>
  <c r="A19" i="24"/>
  <c r="BK18" i="24"/>
  <c r="BF18" i="24"/>
  <c r="BE18" i="24"/>
  <c r="BC18" i="24"/>
  <c r="BD18" i="24" s="1"/>
  <c r="BL18" i="24" s="1"/>
  <c r="BB18" i="24"/>
  <c r="BA18" i="24"/>
  <c r="AZ18" i="24"/>
  <c r="AW18" i="24"/>
  <c r="AV18" i="24"/>
  <c r="AU18" i="24"/>
  <c r="AT18" i="24"/>
  <c r="BG18" i="24" s="1"/>
  <c r="BH18" i="24" s="1"/>
  <c r="AS18" i="24"/>
  <c r="AR18" i="24"/>
  <c r="K18" i="24"/>
  <c r="A18" i="24"/>
  <c r="BK17" i="24"/>
  <c r="BF17" i="24"/>
  <c r="BE17" i="24"/>
  <c r="BB17" i="24"/>
  <c r="BA17" i="24"/>
  <c r="AZ17" i="24"/>
  <c r="BC17" i="24" s="1"/>
  <c r="BD17" i="24" s="1"/>
  <c r="AW17" i="24"/>
  <c r="AV17" i="24"/>
  <c r="AU17" i="24"/>
  <c r="AT17" i="24"/>
  <c r="AS17" i="24"/>
  <c r="AR17" i="24"/>
  <c r="AX17" i="24" s="1"/>
  <c r="K17" i="24"/>
  <c r="A17" i="24"/>
  <c r="BK16" i="24"/>
  <c r="BF16" i="24"/>
  <c r="BE16" i="24"/>
  <c r="BB16" i="24"/>
  <c r="BA16" i="24"/>
  <c r="AZ16" i="24"/>
  <c r="BC16" i="24" s="1"/>
  <c r="BD16" i="24" s="1"/>
  <c r="AW16" i="24"/>
  <c r="AV16" i="24"/>
  <c r="AU16" i="24"/>
  <c r="AT16" i="24"/>
  <c r="AS16" i="24"/>
  <c r="AR16" i="24"/>
  <c r="AX16" i="24" s="1"/>
  <c r="K16" i="24"/>
  <c r="A16" i="24"/>
  <c r="BK15" i="24"/>
  <c r="BF15" i="24"/>
  <c r="BE15" i="24"/>
  <c r="BB15" i="24"/>
  <c r="BC15" i="24" s="1"/>
  <c r="BD15" i="24" s="1"/>
  <c r="BA15" i="24"/>
  <c r="AZ15" i="24"/>
  <c r="AW15" i="24"/>
  <c r="AV15" i="24"/>
  <c r="AU15" i="24"/>
  <c r="AT15" i="24"/>
  <c r="AX15" i="24" s="1"/>
  <c r="AS15" i="24"/>
  <c r="AR15" i="24"/>
  <c r="K15" i="24"/>
  <c r="A15" i="24"/>
  <c r="BK14" i="24"/>
  <c r="BF14" i="24"/>
  <c r="BE14" i="24"/>
  <c r="BC14" i="24"/>
  <c r="BD14" i="24" s="1"/>
  <c r="BL14" i="24" s="1"/>
  <c r="BB14" i="24"/>
  <c r="BA14" i="24"/>
  <c r="AZ14" i="24"/>
  <c r="AW14" i="24"/>
  <c r="AV14" i="24"/>
  <c r="AU14" i="24"/>
  <c r="AT14" i="24"/>
  <c r="BG14" i="24" s="1"/>
  <c r="BH14" i="24" s="1"/>
  <c r="AS14" i="24"/>
  <c r="AR14" i="24"/>
  <c r="K14" i="24"/>
  <c r="A14" i="24"/>
  <c r="BK13" i="24"/>
  <c r="BF13" i="24"/>
  <c r="BE13" i="24"/>
  <c r="BB13" i="24"/>
  <c r="BA13" i="24"/>
  <c r="AZ13" i="24"/>
  <c r="BC13" i="24" s="1"/>
  <c r="BD13" i="24" s="1"/>
  <c r="AW13" i="24"/>
  <c r="AV13" i="24"/>
  <c r="AU13" i="24"/>
  <c r="AT13" i="24"/>
  <c r="AS13" i="24"/>
  <c r="AR13" i="24"/>
  <c r="AX13" i="24" s="1"/>
  <c r="K13" i="24"/>
  <c r="A13" i="24"/>
  <c r="BK12" i="24"/>
  <c r="BF12" i="24"/>
  <c r="BE12" i="24"/>
  <c r="BB12" i="24"/>
  <c r="BA12" i="24"/>
  <c r="AZ12" i="24"/>
  <c r="BC12" i="24" s="1"/>
  <c r="BD12" i="24" s="1"/>
  <c r="AW12" i="24"/>
  <c r="AV12" i="24"/>
  <c r="AU12" i="24"/>
  <c r="AT12" i="24"/>
  <c r="AS12" i="24"/>
  <c r="AR12" i="24"/>
  <c r="AX12" i="24" s="1"/>
  <c r="K12" i="24"/>
  <c r="A12" i="24"/>
  <c r="BK11" i="24"/>
  <c r="BF11" i="24"/>
  <c r="BE11" i="24"/>
  <c r="BB11" i="24"/>
  <c r="BC11" i="24" s="1"/>
  <c r="BD11" i="24" s="1"/>
  <c r="BA11" i="24"/>
  <c r="AZ11" i="24"/>
  <c r="AW11" i="24"/>
  <c r="AV11" i="24"/>
  <c r="AU11" i="24"/>
  <c r="AT11" i="24"/>
  <c r="AX11" i="24" s="1"/>
  <c r="AS11" i="24"/>
  <c r="AR11" i="24"/>
  <c r="K11" i="24"/>
  <c r="A11" i="24"/>
  <c r="BK10" i="24"/>
  <c r="BF10" i="24"/>
  <c r="BE10" i="24"/>
  <c r="BC10" i="24"/>
  <c r="BD10" i="24" s="1"/>
  <c r="BB10" i="24"/>
  <c r="BA10" i="24"/>
  <c r="AZ10" i="24"/>
  <c r="AW10" i="24"/>
  <c r="AV10" i="24"/>
  <c r="AU10" i="24"/>
  <c r="AT10" i="24"/>
  <c r="BG10" i="24" s="1"/>
  <c r="BH10" i="24" s="1"/>
  <c r="AS10" i="24"/>
  <c r="AR10" i="24"/>
  <c r="K10" i="24"/>
  <c r="A10" i="24"/>
  <c r="BK9" i="24"/>
  <c r="BF9" i="24"/>
  <c r="BE9" i="24"/>
  <c r="BB9" i="24"/>
  <c r="BA9" i="24"/>
  <c r="AZ9" i="24"/>
  <c r="BC9" i="24" s="1"/>
  <c r="BD9" i="24" s="1"/>
  <c r="AW9" i="24"/>
  <c r="AV9" i="24"/>
  <c r="AU9" i="24"/>
  <c r="AT9" i="24"/>
  <c r="AS9" i="24"/>
  <c r="AR9" i="24"/>
  <c r="AX9" i="24" s="1"/>
  <c r="BF2" i="24" s="1"/>
  <c r="K9" i="24"/>
  <c r="A9" i="24"/>
  <c r="P4" i="24"/>
  <c r="M8" i="24" s="1"/>
  <c r="N8" i="24" s="1"/>
  <c r="BB3" i="24"/>
  <c r="BA3" i="24"/>
  <c r="AX3" i="24"/>
  <c r="BC1" i="24"/>
  <c r="BG21" i="24" s="1"/>
  <c r="BH21" i="24" s="1"/>
  <c r="BK21" i="23"/>
  <c r="BF21" i="23"/>
  <c r="BE21" i="23"/>
  <c r="BB21" i="23"/>
  <c r="BA21" i="23"/>
  <c r="AZ21" i="23"/>
  <c r="BC21" i="23" s="1"/>
  <c r="BD21" i="23" s="1"/>
  <c r="AW21" i="23"/>
  <c r="AV21" i="23"/>
  <c r="AU21" i="23"/>
  <c r="AT21" i="23"/>
  <c r="AS21" i="23"/>
  <c r="AR21" i="23"/>
  <c r="AX21" i="23" s="1"/>
  <c r="K21" i="23"/>
  <c r="A21" i="23"/>
  <c r="BK20" i="23"/>
  <c r="BF20" i="23"/>
  <c r="BE20" i="23"/>
  <c r="BB20" i="23"/>
  <c r="BA20" i="23"/>
  <c r="AZ20" i="23"/>
  <c r="BC20" i="23" s="1"/>
  <c r="BD20" i="23" s="1"/>
  <c r="AW20" i="23"/>
  <c r="AV20" i="23"/>
  <c r="AU20" i="23"/>
  <c r="AT20" i="23"/>
  <c r="AS20" i="23"/>
  <c r="AR20" i="23"/>
  <c r="AX20" i="23" s="1"/>
  <c r="K20" i="23"/>
  <c r="A20" i="23"/>
  <c r="BK19" i="23"/>
  <c r="BF19" i="23"/>
  <c r="BE19" i="23"/>
  <c r="BB19" i="23"/>
  <c r="BC19" i="23" s="1"/>
  <c r="BD19" i="23" s="1"/>
  <c r="BA19" i="23"/>
  <c r="AZ19" i="23"/>
  <c r="AW19" i="23"/>
  <c r="AV19" i="23"/>
  <c r="AU19" i="23"/>
  <c r="AT19" i="23"/>
  <c r="AX19" i="23" s="1"/>
  <c r="AS19" i="23"/>
  <c r="AR19" i="23"/>
  <c r="K19" i="23"/>
  <c r="A19" i="23"/>
  <c r="BK18" i="23"/>
  <c r="BF18" i="23"/>
  <c r="BE18" i="23"/>
  <c r="BC18" i="23"/>
  <c r="BD18" i="23" s="1"/>
  <c r="BL18" i="23" s="1"/>
  <c r="BB18" i="23"/>
  <c r="BA18" i="23"/>
  <c r="AZ18" i="23"/>
  <c r="AW18" i="23"/>
  <c r="AV18" i="23"/>
  <c r="AU18" i="23"/>
  <c r="AT18" i="23"/>
  <c r="BG18" i="23" s="1"/>
  <c r="BH18" i="23" s="1"/>
  <c r="AS18" i="23"/>
  <c r="AR18" i="23"/>
  <c r="K18" i="23"/>
  <c r="A18" i="23"/>
  <c r="BK17" i="23"/>
  <c r="BF17" i="23"/>
  <c r="BE17" i="23"/>
  <c r="BB17" i="23"/>
  <c r="BA17" i="23"/>
  <c r="AZ17" i="23"/>
  <c r="BC17" i="23" s="1"/>
  <c r="BD17" i="23" s="1"/>
  <c r="AW17" i="23"/>
  <c r="AV17" i="23"/>
  <c r="AU17" i="23"/>
  <c r="AT17" i="23"/>
  <c r="AS17" i="23"/>
  <c r="AR17" i="23"/>
  <c r="AX17" i="23" s="1"/>
  <c r="K17" i="23"/>
  <c r="A17" i="23"/>
  <c r="BK16" i="23"/>
  <c r="BF16" i="23"/>
  <c r="BE16" i="23"/>
  <c r="BB16" i="23"/>
  <c r="BA16" i="23"/>
  <c r="AZ16" i="23"/>
  <c r="BC16" i="23" s="1"/>
  <c r="BD16" i="23" s="1"/>
  <c r="AW16" i="23"/>
  <c r="AV16" i="23"/>
  <c r="AU16" i="23"/>
  <c r="AT16" i="23"/>
  <c r="AS16" i="23"/>
  <c r="AR16" i="23"/>
  <c r="AX16" i="23" s="1"/>
  <c r="K16" i="23"/>
  <c r="A16" i="23"/>
  <c r="BK15" i="23"/>
  <c r="BF15" i="23"/>
  <c r="BE15" i="23"/>
  <c r="BB15" i="23"/>
  <c r="BC15" i="23" s="1"/>
  <c r="BD15" i="23" s="1"/>
  <c r="BA15" i="23"/>
  <c r="AZ15" i="23"/>
  <c r="AW15" i="23"/>
  <c r="AV15" i="23"/>
  <c r="AU15" i="23"/>
  <c r="AT15" i="23"/>
  <c r="AX15" i="23" s="1"/>
  <c r="AS15" i="23"/>
  <c r="AR15" i="23"/>
  <c r="K15" i="23"/>
  <c r="A15" i="23"/>
  <c r="BK14" i="23"/>
  <c r="BF14" i="23"/>
  <c r="BE14" i="23"/>
  <c r="BC14" i="23"/>
  <c r="BD14" i="23" s="1"/>
  <c r="BB14" i="23"/>
  <c r="BA14" i="23"/>
  <c r="AZ14" i="23"/>
  <c r="AW14" i="23"/>
  <c r="AV14" i="23"/>
  <c r="AU14" i="23"/>
  <c r="AT14" i="23"/>
  <c r="AX14" i="23" s="1"/>
  <c r="AS14" i="23"/>
  <c r="AR14" i="23"/>
  <c r="K14" i="23"/>
  <c r="A14" i="23"/>
  <c r="BK13" i="23"/>
  <c r="BF13" i="23"/>
  <c r="BE13" i="23"/>
  <c r="BB13" i="23"/>
  <c r="BA13" i="23"/>
  <c r="AZ13" i="23"/>
  <c r="BC13" i="23" s="1"/>
  <c r="BD13" i="23" s="1"/>
  <c r="AW13" i="23"/>
  <c r="AV13" i="23"/>
  <c r="AU13" i="23"/>
  <c r="AT13" i="23"/>
  <c r="AS13" i="23"/>
  <c r="AR13" i="23"/>
  <c r="AX13" i="23" s="1"/>
  <c r="K13" i="23"/>
  <c r="A13" i="23"/>
  <c r="BK12" i="23"/>
  <c r="BF12" i="23"/>
  <c r="BE12" i="23"/>
  <c r="BB12" i="23"/>
  <c r="BA12" i="23"/>
  <c r="AZ12" i="23"/>
  <c r="BC12" i="23" s="1"/>
  <c r="BD12" i="23" s="1"/>
  <c r="AW12" i="23"/>
  <c r="AV12" i="23"/>
  <c r="AU12" i="23"/>
  <c r="AT12" i="23"/>
  <c r="AS12" i="23"/>
  <c r="AR12" i="23"/>
  <c r="AX12" i="23" s="1"/>
  <c r="K12" i="23"/>
  <c r="A12" i="23"/>
  <c r="BK11" i="23"/>
  <c r="BF11" i="23"/>
  <c r="BE11" i="23"/>
  <c r="BB11" i="23"/>
  <c r="BC11" i="23" s="1"/>
  <c r="BD11" i="23" s="1"/>
  <c r="BA11" i="23"/>
  <c r="AZ11" i="23"/>
  <c r="AW11" i="23"/>
  <c r="AV11" i="23"/>
  <c r="AU11" i="23"/>
  <c r="AT11" i="23"/>
  <c r="AX11" i="23" s="1"/>
  <c r="AS11" i="23"/>
  <c r="AR11" i="23"/>
  <c r="K11" i="23"/>
  <c r="A11" i="23"/>
  <c r="BK10" i="23"/>
  <c r="BF10" i="23"/>
  <c r="BE10" i="23"/>
  <c r="BC10" i="23"/>
  <c r="BD10" i="23" s="1"/>
  <c r="BB10" i="23"/>
  <c r="BA10" i="23"/>
  <c r="AZ10" i="23"/>
  <c r="AW10" i="23"/>
  <c r="AV10" i="23"/>
  <c r="AU10" i="23"/>
  <c r="AT10" i="23"/>
  <c r="BG10" i="23" s="1"/>
  <c r="BH10" i="23" s="1"/>
  <c r="AS10" i="23"/>
  <c r="AR10" i="23"/>
  <c r="K10" i="23"/>
  <c r="A10" i="23"/>
  <c r="BK9" i="23"/>
  <c r="BF9" i="23"/>
  <c r="BE9" i="23"/>
  <c r="BB9" i="23"/>
  <c r="BA9" i="23"/>
  <c r="AZ9" i="23"/>
  <c r="BC9" i="23" s="1"/>
  <c r="BD9" i="23" s="1"/>
  <c r="AW9" i="23"/>
  <c r="AV9" i="23"/>
  <c r="AU9" i="23"/>
  <c r="AT9" i="23"/>
  <c r="AS9" i="23"/>
  <c r="AR9" i="23"/>
  <c r="AX9" i="23" s="1"/>
  <c r="BF2" i="23" s="1"/>
  <c r="K9" i="23"/>
  <c r="A9" i="23"/>
  <c r="P5" i="23"/>
  <c r="P4" i="23"/>
  <c r="M8" i="23" s="1"/>
  <c r="N8" i="23" s="1"/>
  <c r="BB3" i="23"/>
  <c r="BA3" i="23"/>
  <c r="AX3" i="23"/>
  <c r="BC1" i="23"/>
  <c r="BG21" i="23" s="1"/>
  <c r="BH21" i="23" s="1"/>
  <c r="BK21" i="22"/>
  <c r="BF21" i="22"/>
  <c r="BE21" i="22"/>
  <c r="BB21" i="22"/>
  <c r="BA21" i="22"/>
  <c r="AZ21" i="22"/>
  <c r="BC21" i="22" s="1"/>
  <c r="BD21" i="22" s="1"/>
  <c r="AW21" i="22"/>
  <c r="AV21" i="22"/>
  <c r="AU21" i="22"/>
  <c r="AT21" i="22"/>
  <c r="AS21" i="22"/>
  <c r="AR21" i="22"/>
  <c r="AX21" i="22" s="1"/>
  <c r="K21" i="22"/>
  <c r="A21" i="22"/>
  <c r="BK20" i="22"/>
  <c r="BF20" i="22"/>
  <c r="BE20" i="22"/>
  <c r="BB20" i="22"/>
  <c r="BA20" i="22"/>
  <c r="BC20" i="22" s="1"/>
  <c r="BD20" i="22" s="1"/>
  <c r="AZ20" i="22"/>
  <c r="AW20" i="22"/>
  <c r="AV20" i="22"/>
  <c r="AU20" i="22"/>
  <c r="AT20" i="22"/>
  <c r="AS20" i="22"/>
  <c r="AR20" i="22"/>
  <c r="AX20" i="22" s="1"/>
  <c r="K20" i="22"/>
  <c r="A20" i="22"/>
  <c r="BK19" i="22"/>
  <c r="BF19" i="22"/>
  <c r="BE19" i="22"/>
  <c r="BB19" i="22"/>
  <c r="BC19" i="22" s="1"/>
  <c r="BD19" i="22" s="1"/>
  <c r="BA19" i="22"/>
  <c r="AZ19" i="22"/>
  <c r="AW19" i="22"/>
  <c r="AV19" i="22"/>
  <c r="AU19" i="22"/>
  <c r="AT19" i="22"/>
  <c r="AX19" i="22" s="1"/>
  <c r="AS19" i="22"/>
  <c r="AR19" i="22"/>
  <c r="K19" i="22"/>
  <c r="A19" i="22"/>
  <c r="BK18" i="22"/>
  <c r="BF18" i="22"/>
  <c r="BE18" i="22"/>
  <c r="BC18" i="22"/>
  <c r="BD18" i="22" s="1"/>
  <c r="BL18" i="22" s="1"/>
  <c r="BB18" i="22"/>
  <c r="BA18" i="22"/>
  <c r="AZ18" i="22"/>
  <c r="AW18" i="22"/>
  <c r="AV18" i="22"/>
  <c r="AU18" i="22"/>
  <c r="AT18" i="22"/>
  <c r="BG18" i="22" s="1"/>
  <c r="BH18" i="22" s="1"/>
  <c r="AS18" i="22"/>
  <c r="AR18" i="22"/>
  <c r="K18" i="22"/>
  <c r="A18" i="22"/>
  <c r="BK17" i="22"/>
  <c r="BF17" i="22"/>
  <c r="BE17" i="22"/>
  <c r="BB17" i="22"/>
  <c r="BA17" i="22"/>
  <c r="AZ17" i="22"/>
  <c r="BC17" i="22" s="1"/>
  <c r="BD17" i="22" s="1"/>
  <c r="AW17" i="22"/>
  <c r="AV17" i="22"/>
  <c r="AU17" i="22"/>
  <c r="AT17" i="22"/>
  <c r="AS17" i="22"/>
  <c r="AR17" i="22"/>
  <c r="AX17" i="22" s="1"/>
  <c r="K17" i="22"/>
  <c r="A17" i="22"/>
  <c r="BK16" i="22"/>
  <c r="BF16" i="22"/>
  <c r="BE16" i="22"/>
  <c r="BB16" i="22"/>
  <c r="BA16" i="22"/>
  <c r="BC16" i="22" s="1"/>
  <c r="BD16" i="22" s="1"/>
  <c r="AZ16" i="22"/>
  <c r="AW16" i="22"/>
  <c r="AV16" i="22"/>
  <c r="AU16" i="22"/>
  <c r="AT16" i="22"/>
  <c r="AS16" i="22"/>
  <c r="AR16" i="22"/>
  <c r="AX16" i="22" s="1"/>
  <c r="K16" i="22"/>
  <c r="A16" i="22"/>
  <c r="BK15" i="22"/>
  <c r="BF15" i="22"/>
  <c r="BE15" i="22"/>
  <c r="BB15" i="22"/>
  <c r="BC15" i="22" s="1"/>
  <c r="BD15" i="22" s="1"/>
  <c r="BA15" i="22"/>
  <c r="AZ15" i="22"/>
  <c r="AW15" i="22"/>
  <c r="AV15" i="22"/>
  <c r="AU15" i="22"/>
  <c r="AT15" i="22"/>
  <c r="AX15" i="22" s="1"/>
  <c r="AS15" i="22"/>
  <c r="AR15" i="22"/>
  <c r="K15" i="22"/>
  <c r="A15" i="22"/>
  <c r="BK14" i="22"/>
  <c r="BF14" i="22"/>
  <c r="BE14" i="22"/>
  <c r="BC14" i="22"/>
  <c r="BD14" i="22" s="1"/>
  <c r="BB14" i="22"/>
  <c r="BA14" i="22"/>
  <c r="AZ14" i="22"/>
  <c r="AW14" i="22"/>
  <c r="AV14" i="22"/>
  <c r="AU14" i="22"/>
  <c r="AT14" i="22"/>
  <c r="AX14" i="22" s="1"/>
  <c r="AS14" i="22"/>
  <c r="AR14" i="22"/>
  <c r="K14" i="22"/>
  <c r="A14" i="22"/>
  <c r="BK13" i="22"/>
  <c r="BF13" i="22"/>
  <c r="BE13" i="22"/>
  <c r="BB13" i="22"/>
  <c r="BA13" i="22"/>
  <c r="AZ13" i="22"/>
  <c r="BC13" i="22" s="1"/>
  <c r="BD13" i="22" s="1"/>
  <c r="AW13" i="22"/>
  <c r="AV13" i="22"/>
  <c r="AU13" i="22"/>
  <c r="AT13" i="22"/>
  <c r="AS13" i="22"/>
  <c r="AR13" i="22"/>
  <c r="AX13" i="22" s="1"/>
  <c r="K13" i="22"/>
  <c r="A13" i="22"/>
  <c r="BK12" i="22"/>
  <c r="BF12" i="22"/>
  <c r="BE12" i="22"/>
  <c r="BB12" i="22"/>
  <c r="BA12" i="22"/>
  <c r="BC12" i="22" s="1"/>
  <c r="BD12" i="22" s="1"/>
  <c r="AZ12" i="22"/>
  <c r="AW12" i="22"/>
  <c r="AV12" i="22"/>
  <c r="AU12" i="22"/>
  <c r="AT12" i="22"/>
  <c r="AS12" i="22"/>
  <c r="AR12" i="22"/>
  <c r="AX12" i="22" s="1"/>
  <c r="K12" i="22"/>
  <c r="A12" i="22"/>
  <c r="BK11" i="22"/>
  <c r="BF11" i="22"/>
  <c r="BE11" i="22"/>
  <c r="BB11" i="22"/>
  <c r="BC11" i="22" s="1"/>
  <c r="BD11" i="22" s="1"/>
  <c r="BA11" i="22"/>
  <c r="AZ11" i="22"/>
  <c r="AW11" i="22"/>
  <c r="AV11" i="22"/>
  <c r="AU11" i="22"/>
  <c r="AT11" i="22"/>
  <c r="AX11" i="22" s="1"/>
  <c r="AS11" i="22"/>
  <c r="AR11" i="22"/>
  <c r="K11" i="22"/>
  <c r="A11" i="22"/>
  <c r="BK10" i="22"/>
  <c r="BF10" i="22"/>
  <c r="BE10" i="22"/>
  <c r="BC10" i="22"/>
  <c r="BD10" i="22" s="1"/>
  <c r="BL10" i="22" s="1"/>
  <c r="BB10" i="22"/>
  <c r="BA10" i="22"/>
  <c r="AZ10" i="22"/>
  <c r="AW10" i="22"/>
  <c r="AV10" i="22"/>
  <c r="AU10" i="22"/>
  <c r="AT10" i="22"/>
  <c r="BG10" i="22" s="1"/>
  <c r="BH10" i="22" s="1"/>
  <c r="AS10" i="22"/>
  <c r="AR10" i="22"/>
  <c r="K10" i="22"/>
  <c r="A10" i="22"/>
  <c r="BK9" i="22"/>
  <c r="BF9" i="22"/>
  <c r="BE9" i="22"/>
  <c r="BB9" i="22"/>
  <c r="BA9" i="22"/>
  <c r="AZ9" i="22"/>
  <c r="BC9" i="22" s="1"/>
  <c r="BD9" i="22" s="1"/>
  <c r="AW9" i="22"/>
  <c r="AV9" i="22"/>
  <c r="AU9" i="22"/>
  <c r="AT9" i="22"/>
  <c r="AS9" i="22"/>
  <c r="AR9" i="22"/>
  <c r="AX9" i="22" s="1"/>
  <c r="BF2" i="22" s="1"/>
  <c r="K9" i="22"/>
  <c r="A9" i="22"/>
  <c r="P4" i="22"/>
  <c r="M8" i="22" s="1"/>
  <c r="N8" i="22" s="1"/>
  <c r="BB3" i="22"/>
  <c r="AX3" i="22"/>
  <c r="BC1" i="22"/>
  <c r="BG21" i="22" s="1"/>
  <c r="BH21" i="22" s="1"/>
  <c r="BK21" i="21"/>
  <c r="BF21" i="21"/>
  <c r="BE21" i="21"/>
  <c r="BB21" i="21"/>
  <c r="BA21" i="21"/>
  <c r="AZ21" i="21"/>
  <c r="BC21" i="21" s="1"/>
  <c r="BD21" i="21" s="1"/>
  <c r="AW21" i="21"/>
  <c r="AV21" i="21"/>
  <c r="AU21" i="21"/>
  <c r="AT21" i="21"/>
  <c r="AS21" i="21"/>
  <c r="AR21" i="21"/>
  <c r="AX21" i="21" s="1"/>
  <c r="K21" i="21"/>
  <c r="A21" i="21"/>
  <c r="BK20" i="21"/>
  <c r="BF20" i="21"/>
  <c r="BE20" i="21"/>
  <c r="BB20" i="21"/>
  <c r="BA20" i="21"/>
  <c r="AZ20" i="21"/>
  <c r="BC20" i="21" s="1"/>
  <c r="BD20" i="21" s="1"/>
  <c r="AW20" i="21"/>
  <c r="AV20" i="21"/>
  <c r="AU20" i="21"/>
  <c r="AT20" i="21"/>
  <c r="AS20" i="21"/>
  <c r="AR20" i="21"/>
  <c r="AX20" i="21" s="1"/>
  <c r="K20" i="21"/>
  <c r="A20" i="21"/>
  <c r="BK19" i="21"/>
  <c r="BF19" i="21"/>
  <c r="BE19" i="21"/>
  <c r="BB19" i="21"/>
  <c r="BC19" i="21" s="1"/>
  <c r="BD19" i="21" s="1"/>
  <c r="BA19" i="21"/>
  <c r="AZ19" i="21"/>
  <c r="AW19" i="21"/>
  <c r="AV19" i="21"/>
  <c r="AU19" i="21"/>
  <c r="AT19" i="21"/>
  <c r="AX19" i="21" s="1"/>
  <c r="AS19" i="21"/>
  <c r="AR19" i="21"/>
  <c r="K19" i="21"/>
  <c r="A19" i="21"/>
  <c r="BK18" i="21"/>
  <c r="BF18" i="21"/>
  <c r="BE18" i="21"/>
  <c r="BC18" i="21"/>
  <c r="BD18" i="21" s="1"/>
  <c r="BB18" i="21"/>
  <c r="BA18" i="21"/>
  <c r="AZ18" i="21"/>
  <c r="AW18" i="21"/>
  <c r="AV18" i="21"/>
  <c r="AU18" i="21"/>
  <c r="AT18" i="21"/>
  <c r="AX18" i="21" s="1"/>
  <c r="AS18" i="21"/>
  <c r="AR18" i="21"/>
  <c r="K18" i="21"/>
  <c r="A18" i="21"/>
  <c r="BK17" i="21"/>
  <c r="BF17" i="21"/>
  <c r="BE17" i="21"/>
  <c r="BB17" i="21"/>
  <c r="BA17" i="21"/>
  <c r="AZ17" i="21"/>
  <c r="BC17" i="21" s="1"/>
  <c r="BD17" i="21" s="1"/>
  <c r="AW17" i="21"/>
  <c r="AV17" i="21"/>
  <c r="AU17" i="21"/>
  <c r="AT17" i="21"/>
  <c r="AS17" i="21"/>
  <c r="AR17" i="21"/>
  <c r="AX17" i="21" s="1"/>
  <c r="K17" i="21"/>
  <c r="A17" i="21"/>
  <c r="BK16" i="21"/>
  <c r="BF16" i="21"/>
  <c r="BE16" i="21"/>
  <c r="BB16" i="21"/>
  <c r="BA16" i="21"/>
  <c r="AZ16" i="21"/>
  <c r="BC16" i="21" s="1"/>
  <c r="BD16" i="21" s="1"/>
  <c r="AW16" i="21"/>
  <c r="AV16" i="21"/>
  <c r="AU16" i="21"/>
  <c r="AT16" i="21"/>
  <c r="AS16" i="21"/>
  <c r="AR16" i="21"/>
  <c r="AX16" i="21" s="1"/>
  <c r="K16" i="21"/>
  <c r="A16" i="21"/>
  <c r="BK15" i="21"/>
  <c r="BF15" i="21"/>
  <c r="BE15" i="21"/>
  <c r="BB15" i="21"/>
  <c r="BC15" i="21" s="1"/>
  <c r="BD15" i="21" s="1"/>
  <c r="BA15" i="21"/>
  <c r="AZ15" i="21"/>
  <c r="AW15" i="21"/>
  <c r="AV15" i="21"/>
  <c r="AU15" i="21"/>
  <c r="AT15" i="21"/>
  <c r="AX15" i="21" s="1"/>
  <c r="AS15" i="21"/>
  <c r="AR15" i="21"/>
  <c r="K15" i="21"/>
  <c r="A15" i="21"/>
  <c r="BK14" i="21"/>
  <c r="BF14" i="21"/>
  <c r="BE14" i="21"/>
  <c r="BC14" i="21"/>
  <c r="BD14" i="21" s="1"/>
  <c r="BL14" i="21" s="1"/>
  <c r="BB14" i="21"/>
  <c r="BA14" i="21"/>
  <c r="AZ14" i="21"/>
  <c r="AW14" i="21"/>
  <c r="AV14" i="21"/>
  <c r="AU14" i="21"/>
  <c r="AT14" i="21"/>
  <c r="BG14" i="21" s="1"/>
  <c r="BH14" i="21" s="1"/>
  <c r="AS14" i="21"/>
  <c r="AR14" i="21"/>
  <c r="K14" i="21"/>
  <c r="A14" i="21"/>
  <c r="BK13" i="21"/>
  <c r="BF13" i="21"/>
  <c r="BE13" i="21"/>
  <c r="BB13" i="21"/>
  <c r="BA13" i="21"/>
  <c r="AZ13" i="21"/>
  <c r="BC13" i="21" s="1"/>
  <c r="BD13" i="21" s="1"/>
  <c r="AW13" i="21"/>
  <c r="AV13" i="21"/>
  <c r="AU13" i="21"/>
  <c r="AT13" i="21"/>
  <c r="AS13" i="21"/>
  <c r="AR13" i="21"/>
  <c r="AX13" i="21" s="1"/>
  <c r="K13" i="21"/>
  <c r="A13" i="21"/>
  <c r="BK12" i="21"/>
  <c r="BF12" i="21"/>
  <c r="BE12" i="21"/>
  <c r="BB12" i="21"/>
  <c r="BA12" i="21"/>
  <c r="AZ12" i="21"/>
  <c r="BC12" i="21" s="1"/>
  <c r="BD12" i="21" s="1"/>
  <c r="AW12" i="21"/>
  <c r="AV12" i="21"/>
  <c r="AU12" i="21"/>
  <c r="AT12" i="21"/>
  <c r="AS12" i="21"/>
  <c r="AR12" i="21"/>
  <c r="AX12" i="21" s="1"/>
  <c r="K12" i="21"/>
  <c r="A12" i="21"/>
  <c r="BK11" i="21"/>
  <c r="BF11" i="21"/>
  <c r="BE11" i="21"/>
  <c r="BB11" i="21"/>
  <c r="BC11" i="21" s="1"/>
  <c r="BD11" i="21" s="1"/>
  <c r="BA11" i="21"/>
  <c r="AZ11" i="21"/>
  <c r="AW11" i="21"/>
  <c r="AV11" i="21"/>
  <c r="AU11" i="21"/>
  <c r="AT11" i="21"/>
  <c r="AX11" i="21" s="1"/>
  <c r="AS11" i="21"/>
  <c r="AR11" i="21"/>
  <c r="K11" i="21"/>
  <c r="A11" i="21"/>
  <c r="BK10" i="21"/>
  <c r="BF10" i="21"/>
  <c r="BE10" i="21"/>
  <c r="BC10" i="21"/>
  <c r="BD10" i="21" s="1"/>
  <c r="BB10" i="21"/>
  <c r="BA10" i="21"/>
  <c r="AZ10" i="21"/>
  <c r="AW10" i="21"/>
  <c r="AV10" i="21"/>
  <c r="AU10" i="21"/>
  <c r="AT10" i="21"/>
  <c r="BG10" i="21" s="1"/>
  <c r="BH10" i="21" s="1"/>
  <c r="AS10" i="21"/>
  <c r="AR10" i="21"/>
  <c r="K10" i="21"/>
  <c r="A10" i="21"/>
  <c r="BK9" i="21"/>
  <c r="BF9" i="21"/>
  <c r="BE9" i="21"/>
  <c r="BB9" i="21"/>
  <c r="BA9" i="21"/>
  <c r="AZ9" i="21"/>
  <c r="BC9" i="21" s="1"/>
  <c r="BD9" i="21" s="1"/>
  <c r="AW9" i="21"/>
  <c r="AV9" i="21"/>
  <c r="AU9" i="21"/>
  <c r="AT9" i="21"/>
  <c r="AS9" i="21"/>
  <c r="AR9" i="21"/>
  <c r="AX9" i="21" s="1"/>
  <c r="BF2" i="21" s="1"/>
  <c r="K9" i="21"/>
  <c r="A9" i="21"/>
  <c r="M8" i="21"/>
  <c r="N8" i="21" s="1"/>
  <c r="P5" i="21"/>
  <c r="P4" i="21"/>
  <c r="BB3" i="21"/>
  <c r="AX3" i="21"/>
  <c r="BC1" i="21"/>
  <c r="BG21" i="21" s="1"/>
  <c r="BH21" i="21" s="1"/>
  <c r="BK21" i="20"/>
  <c r="BF21" i="20"/>
  <c r="BE21" i="20"/>
  <c r="BB21" i="20"/>
  <c r="BA21" i="20"/>
  <c r="AZ21" i="20"/>
  <c r="BC21" i="20" s="1"/>
  <c r="BD21" i="20" s="1"/>
  <c r="AW21" i="20"/>
  <c r="AV21" i="20"/>
  <c r="AU21" i="20"/>
  <c r="AT21" i="20"/>
  <c r="AS21" i="20"/>
  <c r="AR21" i="20"/>
  <c r="AX21" i="20" s="1"/>
  <c r="K21" i="20"/>
  <c r="A21" i="20"/>
  <c r="BK20" i="20"/>
  <c r="BF20" i="20"/>
  <c r="BE20" i="20"/>
  <c r="BB20" i="20"/>
  <c r="BA20" i="20"/>
  <c r="AZ20" i="20"/>
  <c r="BC20" i="20" s="1"/>
  <c r="BD20" i="20" s="1"/>
  <c r="AW20" i="20"/>
  <c r="AV20" i="20"/>
  <c r="AU20" i="20"/>
  <c r="AT20" i="20"/>
  <c r="AS20" i="20"/>
  <c r="AR20" i="20"/>
  <c r="AX20" i="20" s="1"/>
  <c r="K20" i="20"/>
  <c r="A20" i="20"/>
  <c r="BK19" i="20"/>
  <c r="BF19" i="20"/>
  <c r="BE19" i="20"/>
  <c r="BB19" i="20"/>
  <c r="BC19" i="20" s="1"/>
  <c r="BD19" i="20" s="1"/>
  <c r="BA19" i="20"/>
  <c r="AZ19" i="20"/>
  <c r="AW19" i="20"/>
  <c r="AV19" i="20"/>
  <c r="AU19" i="20"/>
  <c r="AT19" i="20"/>
  <c r="AX19" i="20" s="1"/>
  <c r="AS19" i="20"/>
  <c r="AR19" i="20"/>
  <c r="K19" i="20"/>
  <c r="A19" i="20"/>
  <c r="BK18" i="20"/>
  <c r="BF18" i="20"/>
  <c r="BE18" i="20"/>
  <c r="BC18" i="20"/>
  <c r="BD18" i="20" s="1"/>
  <c r="BL18" i="20" s="1"/>
  <c r="BB18" i="20"/>
  <c r="BA18" i="20"/>
  <c r="AZ18" i="20"/>
  <c r="AW18" i="20"/>
  <c r="AV18" i="20"/>
  <c r="AU18" i="20"/>
  <c r="AT18" i="20"/>
  <c r="BG18" i="20" s="1"/>
  <c r="BH18" i="20" s="1"/>
  <c r="AS18" i="20"/>
  <c r="AR18" i="20"/>
  <c r="K18" i="20"/>
  <c r="A18" i="20"/>
  <c r="BK17" i="20"/>
  <c r="BF17" i="20"/>
  <c r="BE17" i="20"/>
  <c r="BB17" i="20"/>
  <c r="BA17" i="20"/>
  <c r="AZ17" i="20"/>
  <c r="BC17" i="20" s="1"/>
  <c r="BD17" i="20" s="1"/>
  <c r="AW17" i="20"/>
  <c r="AV17" i="20"/>
  <c r="AU17" i="20"/>
  <c r="AT17" i="20"/>
  <c r="AS17" i="20"/>
  <c r="AR17" i="20"/>
  <c r="AX17" i="20" s="1"/>
  <c r="K17" i="20"/>
  <c r="A17" i="20"/>
  <c r="BK16" i="20"/>
  <c r="BF16" i="20"/>
  <c r="BE16" i="20"/>
  <c r="BB16" i="20"/>
  <c r="BA16" i="20"/>
  <c r="AZ16" i="20"/>
  <c r="BC16" i="20" s="1"/>
  <c r="BD16" i="20" s="1"/>
  <c r="AW16" i="20"/>
  <c r="AV16" i="20"/>
  <c r="AU16" i="20"/>
  <c r="AT16" i="20"/>
  <c r="AS16" i="20"/>
  <c r="AR16" i="20"/>
  <c r="AX16" i="20" s="1"/>
  <c r="K16" i="20"/>
  <c r="A16" i="20"/>
  <c r="BK15" i="20"/>
  <c r="BF15" i="20"/>
  <c r="BE15" i="20"/>
  <c r="BB15" i="20"/>
  <c r="BC15" i="20" s="1"/>
  <c r="BD15" i="20" s="1"/>
  <c r="BA15" i="20"/>
  <c r="AZ15" i="20"/>
  <c r="AW15" i="20"/>
  <c r="AV15" i="20"/>
  <c r="AU15" i="20"/>
  <c r="AT15" i="20"/>
  <c r="AX15" i="20" s="1"/>
  <c r="AS15" i="20"/>
  <c r="AR15" i="20"/>
  <c r="K15" i="20"/>
  <c r="A15" i="20"/>
  <c r="BK14" i="20"/>
  <c r="BF14" i="20"/>
  <c r="BE14" i="20"/>
  <c r="BC14" i="20"/>
  <c r="BD14" i="20" s="1"/>
  <c r="BL14" i="20" s="1"/>
  <c r="BB14" i="20"/>
  <c r="BA14" i="20"/>
  <c r="AZ14" i="20"/>
  <c r="AW14" i="20"/>
  <c r="AV14" i="20"/>
  <c r="AU14" i="20"/>
  <c r="AT14" i="20"/>
  <c r="BG14" i="20" s="1"/>
  <c r="BH14" i="20" s="1"/>
  <c r="AS14" i="20"/>
  <c r="AR14" i="20"/>
  <c r="K14" i="20"/>
  <c r="A14" i="20"/>
  <c r="BK13" i="20"/>
  <c r="BF13" i="20"/>
  <c r="BE13" i="20"/>
  <c r="BB13" i="20"/>
  <c r="BA13" i="20"/>
  <c r="AZ13" i="20"/>
  <c r="BC13" i="20" s="1"/>
  <c r="BD13" i="20" s="1"/>
  <c r="AW13" i="20"/>
  <c r="AV13" i="20"/>
  <c r="AU13" i="20"/>
  <c r="AT13" i="20"/>
  <c r="AS13" i="20"/>
  <c r="AR13" i="20"/>
  <c r="AX13" i="20" s="1"/>
  <c r="K13" i="20"/>
  <c r="A13" i="20"/>
  <c r="BK12" i="20"/>
  <c r="BF12" i="20"/>
  <c r="BE12" i="20"/>
  <c r="BB12" i="20"/>
  <c r="BA12" i="20"/>
  <c r="AZ12" i="20"/>
  <c r="BC12" i="20" s="1"/>
  <c r="BD12" i="20" s="1"/>
  <c r="AW12" i="20"/>
  <c r="AV12" i="20"/>
  <c r="AU12" i="20"/>
  <c r="AT12" i="20"/>
  <c r="AS12" i="20"/>
  <c r="AR12" i="20"/>
  <c r="AX12" i="20" s="1"/>
  <c r="K12" i="20"/>
  <c r="A12" i="20"/>
  <c r="BK11" i="20"/>
  <c r="BF11" i="20"/>
  <c r="BE11" i="20"/>
  <c r="BB11" i="20"/>
  <c r="BC11" i="20" s="1"/>
  <c r="BD11" i="20" s="1"/>
  <c r="BA11" i="20"/>
  <c r="AZ11" i="20"/>
  <c r="AW11" i="20"/>
  <c r="AV11" i="20"/>
  <c r="AU11" i="20"/>
  <c r="AT11" i="20"/>
  <c r="AX11" i="20" s="1"/>
  <c r="AS11" i="20"/>
  <c r="AR11" i="20"/>
  <c r="K11" i="20"/>
  <c r="A11" i="20"/>
  <c r="BK10" i="20"/>
  <c r="BF10" i="20"/>
  <c r="BE10" i="20"/>
  <c r="BC10" i="20"/>
  <c r="BD10" i="20" s="1"/>
  <c r="BB10" i="20"/>
  <c r="BA10" i="20"/>
  <c r="AZ10" i="20"/>
  <c r="AW10" i="20"/>
  <c r="AV10" i="20"/>
  <c r="AU10" i="20"/>
  <c r="AT10" i="20"/>
  <c r="BG10" i="20" s="1"/>
  <c r="BH10" i="20" s="1"/>
  <c r="AS10" i="20"/>
  <c r="AR10" i="20"/>
  <c r="K10" i="20"/>
  <c r="A10" i="20"/>
  <c r="BK9" i="20"/>
  <c r="BF9" i="20"/>
  <c r="BE9" i="20"/>
  <c r="BB9" i="20"/>
  <c r="BA9" i="20"/>
  <c r="AZ9" i="20"/>
  <c r="BC9" i="20" s="1"/>
  <c r="BD9" i="20" s="1"/>
  <c r="AW9" i="20"/>
  <c r="AV9" i="20"/>
  <c r="AU9" i="20"/>
  <c r="AT9" i="20"/>
  <c r="AS9" i="20"/>
  <c r="AR9" i="20"/>
  <c r="AX9" i="20" s="1"/>
  <c r="BF2" i="20" s="1"/>
  <c r="K9" i="20"/>
  <c r="A9" i="20"/>
  <c r="M8" i="20"/>
  <c r="N8" i="20" s="1"/>
  <c r="P4" i="20"/>
  <c r="P5" i="20" s="1"/>
  <c r="BB3" i="20"/>
  <c r="BA3" i="20"/>
  <c r="AX3" i="20"/>
  <c r="BC1" i="20"/>
  <c r="BG21" i="20" s="1"/>
  <c r="BH21" i="20" s="1"/>
  <c r="BK21" i="19"/>
  <c r="BF21" i="19"/>
  <c r="BE21" i="19"/>
  <c r="BB21" i="19"/>
  <c r="BA21" i="19"/>
  <c r="AZ21" i="19"/>
  <c r="BC21" i="19" s="1"/>
  <c r="BD21" i="19" s="1"/>
  <c r="AW21" i="19"/>
  <c r="AV21" i="19"/>
  <c r="AU21" i="19"/>
  <c r="AT21" i="19"/>
  <c r="AS21" i="19"/>
  <c r="AR21" i="19"/>
  <c r="AX21" i="19" s="1"/>
  <c r="K21" i="19"/>
  <c r="A21" i="19"/>
  <c r="BK20" i="19"/>
  <c r="BF20" i="19"/>
  <c r="BE20" i="19"/>
  <c r="BB20" i="19"/>
  <c r="BA20" i="19"/>
  <c r="AZ20" i="19"/>
  <c r="BC20" i="19" s="1"/>
  <c r="BD20" i="19" s="1"/>
  <c r="AW20" i="19"/>
  <c r="AV20" i="19"/>
  <c r="AU20" i="19"/>
  <c r="AT20" i="19"/>
  <c r="AS20" i="19"/>
  <c r="AR20" i="19"/>
  <c r="AX20" i="19" s="1"/>
  <c r="K20" i="19"/>
  <c r="A20" i="19"/>
  <c r="BK19" i="19"/>
  <c r="BF19" i="19"/>
  <c r="BE19" i="19"/>
  <c r="BB19" i="19"/>
  <c r="BC19" i="19" s="1"/>
  <c r="BD19" i="19" s="1"/>
  <c r="BA19" i="19"/>
  <c r="AZ19" i="19"/>
  <c r="AW19" i="19"/>
  <c r="AV19" i="19"/>
  <c r="AU19" i="19"/>
  <c r="AT19" i="19"/>
  <c r="AX19" i="19" s="1"/>
  <c r="AS19" i="19"/>
  <c r="AR19" i="19"/>
  <c r="K19" i="19"/>
  <c r="A19" i="19"/>
  <c r="BK18" i="19"/>
  <c r="BF18" i="19"/>
  <c r="BE18" i="19"/>
  <c r="BC18" i="19"/>
  <c r="BD18" i="19" s="1"/>
  <c r="BL18" i="19" s="1"/>
  <c r="BB18" i="19"/>
  <c r="BA18" i="19"/>
  <c r="AZ18" i="19"/>
  <c r="AW18" i="19"/>
  <c r="AV18" i="19"/>
  <c r="AU18" i="19"/>
  <c r="AT18" i="19"/>
  <c r="BG18" i="19" s="1"/>
  <c r="BH18" i="19" s="1"/>
  <c r="AS18" i="19"/>
  <c r="AR18" i="19"/>
  <c r="K18" i="19"/>
  <c r="A18" i="19"/>
  <c r="BK17" i="19"/>
  <c r="BF17" i="19"/>
  <c r="BE17" i="19"/>
  <c r="BB17" i="19"/>
  <c r="BA17" i="19"/>
  <c r="AZ17" i="19"/>
  <c r="BC17" i="19" s="1"/>
  <c r="BD17" i="19" s="1"/>
  <c r="AW17" i="19"/>
  <c r="AV17" i="19"/>
  <c r="AU17" i="19"/>
  <c r="AT17" i="19"/>
  <c r="AS17" i="19"/>
  <c r="AR17" i="19"/>
  <c r="AX17" i="19" s="1"/>
  <c r="K17" i="19"/>
  <c r="A17" i="19"/>
  <c r="BK16" i="19"/>
  <c r="BF16" i="19"/>
  <c r="BE16" i="19"/>
  <c r="BB16" i="19"/>
  <c r="BA16" i="19"/>
  <c r="BC16" i="19" s="1"/>
  <c r="BD16" i="19" s="1"/>
  <c r="AZ16" i="19"/>
  <c r="AW16" i="19"/>
  <c r="AV16" i="19"/>
  <c r="AU16" i="19"/>
  <c r="AT16" i="19"/>
  <c r="AS16" i="19"/>
  <c r="AR16" i="19"/>
  <c r="AX16" i="19" s="1"/>
  <c r="K16" i="19"/>
  <c r="A16" i="19"/>
  <c r="BK15" i="19"/>
  <c r="BF15" i="19"/>
  <c r="BE15" i="19"/>
  <c r="BB15" i="19"/>
  <c r="BC15" i="19" s="1"/>
  <c r="BD15" i="19" s="1"/>
  <c r="BA15" i="19"/>
  <c r="AZ15" i="19"/>
  <c r="AW15" i="19"/>
  <c r="AV15" i="19"/>
  <c r="AU15" i="19"/>
  <c r="AT15" i="19"/>
  <c r="AX15" i="19" s="1"/>
  <c r="AS15" i="19"/>
  <c r="AR15" i="19"/>
  <c r="K15" i="19"/>
  <c r="A15" i="19"/>
  <c r="BK14" i="19"/>
  <c r="BF14" i="19"/>
  <c r="BE14" i="19"/>
  <c r="BC14" i="19"/>
  <c r="BD14" i="19" s="1"/>
  <c r="BB14" i="19"/>
  <c r="BA14" i="19"/>
  <c r="AZ14" i="19"/>
  <c r="AW14" i="19"/>
  <c r="AV14" i="19"/>
  <c r="AU14" i="19"/>
  <c r="AT14" i="19"/>
  <c r="AX14" i="19" s="1"/>
  <c r="AS14" i="19"/>
  <c r="AR14" i="19"/>
  <c r="K14" i="19"/>
  <c r="A14" i="19"/>
  <c r="BK13" i="19"/>
  <c r="BF13" i="19"/>
  <c r="BE13" i="19"/>
  <c r="BB13" i="19"/>
  <c r="BA13" i="19"/>
  <c r="AZ13" i="19"/>
  <c r="BC13" i="19" s="1"/>
  <c r="BD13" i="19" s="1"/>
  <c r="AW13" i="19"/>
  <c r="AV13" i="19"/>
  <c r="AU13" i="19"/>
  <c r="AT13" i="19"/>
  <c r="AS13" i="19"/>
  <c r="AR13" i="19"/>
  <c r="AX13" i="19" s="1"/>
  <c r="K13" i="19"/>
  <c r="A13" i="19"/>
  <c r="BK12" i="19"/>
  <c r="BF12" i="19"/>
  <c r="BE12" i="19"/>
  <c r="BB12" i="19"/>
  <c r="BA12" i="19"/>
  <c r="AZ12" i="19"/>
  <c r="BC12" i="19" s="1"/>
  <c r="BD12" i="19" s="1"/>
  <c r="AW12" i="19"/>
  <c r="AV12" i="19"/>
  <c r="AU12" i="19"/>
  <c r="AT12" i="19"/>
  <c r="AS12" i="19"/>
  <c r="AR12" i="19"/>
  <c r="AX12" i="19" s="1"/>
  <c r="K12" i="19"/>
  <c r="A12" i="19"/>
  <c r="BK11" i="19"/>
  <c r="BF11" i="19"/>
  <c r="BE11" i="19"/>
  <c r="BB11" i="19"/>
  <c r="BC11" i="19" s="1"/>
  <c r="BD11" i="19" s="1"/>
  <c r="BA11" i="19"/>
  <c r="AZ11" i="19"/>
  <c r="AW11" i="19"/>
  <c r="AV11" i="19"/>
  <c r="AU11" i="19"/>
  <c r="AT11" i="19"/>
  <c r="AX11" i="19" s="1"/>
  <c r="AS11" i="19"/>
  <c r="AR11" i="19"/>
  <c r="K11" i="19"/>
  <c r="A11" i="19"/>
  <c r="BK10" i="19"/>
  <c r="BF10" i="19"/>
  <c r="BE10" i="19"/>
  <c r="BC10" i="19"/>
  <c r="BD10" i="19" s="1"/>
  <c r="BL10" i="19" s="1"/>
  <c r="BB10" i="19"/>
  <c r="BA10" i="19"/>
  <c r="AZ10" i="19"/>
  <c r="AW10" i="19"/>
  <c r="AV10" i="19"/>
  <c r="AU10" i="19"/>
  <c r="AT10" i="19"/>
  <c r="BG10" i="19" s="1"/>
  <c r="BH10" i="19" s="1"/>
  <c r="AS10" i="19"/>
  <c r="AR10" i="19"/>
  <c r="K10" i="19"/>
  <c r="A10" i="19"/>
  <c r="BK9" i="19"/>
  <c r="BF9" i="19"/>
  <c r="BE9" i="19"/>
  <c r="BB9" i="19"/>
  <c r="BA9" i="19"/>
  <c r="AZ9" i="19"/>
  <c r="BC9" i="19" s="1"/>
  <c r="BD9" i="19" s="1"/>
  <c r="AW9" i="19"/>
  <c r="AV9" i="19"/>
  <c r="AU9" i="19"/>
  <c r="AT9" i="19"/>
  <c r="AS9" i="19"/>
  <c r="AR9" i="19"/>
  <c r="AX9" i="19" s="1"/>
  <c r="BF2" i="19" s="1"/>
  <c r="K9" i="19"/>
  <c r="A9" i="19"/>
  <c r="P5" i="19"/>
  <c r="P4" i="19"/>
  <c r="M8" i="19" s="1"/>
  <c r="N8" i="19" s="1"/>
  <c r="BB3" i="19"/>
  <c r="BA3" i="19"/>
  <c r="AX3" i="19"/>
  <c r="BC1" i="19"/>
  <c r="BG21" i="19" s="1"/>
  <c r="BH21" i="19" s="1"/>
  <c r="BK21" i="18"/>
  <c r="BF21" i="18"/>
  <c r="BE21" i="18"/>
  <c r="BB21" i="18"/>
  <c r="BA21" i="18"/>
  <c r="AZ21" i="18"/>
  <c r="BC21" i="18" s="1"/>
  <c r="BD21" i="18" s="1"/>
  <c r="AW21" i="18"/>
  <c r="AV21" i="18"/>
  <c r="AU21" i="18"/>
  <c r="AT21" i="18"/>
  <c r="AS21" i="18"/>
  <c r="AR21" i="18"/>
  <c r="AX21" i="18" s="1"/>
  <c r="K21" i="18"/>
  <c r="A21" i="18"/>
  <c r="BK20" i="18"/>
  <c r="BF20" i="18"/>
  <c r="BE20" i="18"/>
  <c r="BB20" i="18"/>
  <c r="BA20" i="18"/>
  <c r="AZ20" i="18"/>
  <c r="BC20" i="18" s="1"/>
  <c r="BD20" i="18" s="1"/>
  <c r="AW20" i="18"/>
  <c r="AV20" i="18"/>
  <c r="AU20" i="18"/>
  <c r="AT20" i="18"/>
  <c r="AS20" i="18"/>
  <c r="AR20" i="18"/>
  <c r="AX20" i="18" s="1"/>
  <c r="K20" i="18"/>
  <c r="A20" i="18"/>
  <c r="BK19" i="18"/>
  <c r="BF19" i="18"/>
  <c r="BE19" i="18"/>
  <c r="BB19" i="18"/>
  <c r="BC19" i="18" s="1"/>
  <c r="BD19" i="18" s="1"/>
  <c r="BA19" i="18"/>
  <c r="AZ19" i="18"/>
  <c r="AW19" i="18"/>
  <c r="AV19" i="18"/>
  <c r="AU19" i="18"/>
  <c r="AT19" i="18"/>
  <c r="AX19" i="18" s="1"/>
  <c r="AS19" i="18"/>
  <c r="AR19" i="18"/>
  <c r="K19" i="18"/>
  <c r="A19" i="18"/>
  <c r="BK18" i="18"/>
  <c r="BF18" i="18"/>
  <c r="BE18" i="18"/>
  <c r="BC18" i="18"/>
  <c r="BD18" i="18" s="1"/>
  <c r="BL18" i="18" s="1"/>
  <c r="BB18" i="18"/>
  <c r="BA18" i="18"/>
  <c r="AZ18" i="18"/>
  <c r="AW18" i="18"/>
  <c r="AV18" i="18"/>
  <c r="AU18" i="18"/>
  <c r="AT18" i="18"/>
  <c r="BG18" i="18" s="1"/>
  <c r="BH18" i="18" s="1"/>
  <c r="AS18" i="18"/>
  <c r="AR18" i="18"/>
  <c r="K18" i="18"/>
  <c r="A18" i="18"/>
  <c r="BK17" i="18"/>
  <c r="BF17" i="18"/>
  <c r="BE17" i="18"/>
  <c r="BB17" i="18"/>
  <c r="BA17" i="18"/>
  <c r="AZ17" i="18"/>
  <c r="BC17" i="18" s="1"/>
  <c r="BD17" i="18" s="1"/>
  <c r="AW17" i="18"/>
  <c r="AV17" i="18"/>
  <c r="AU17" i="18"/>
  <c r="AT17" i="18"/>
  <c r="AS17" i="18"/>
  <c r="AR17" i="18"/>
  <c r="AX17" i="18" s="1"/>
  <c r="K17" i="18"/>
  <c r="A17" i="18"/>
  <c r="BK16" i="18"/>
  <c r="BF16" i="18"/>
  <c r="BE16" i="18"/>
  <c r="BB16" i="18"/>
  <c r="BA16" i="18"/>
  <c r="AZ16" i="18"/>
  <c r="BC16" i="18" s="1"/>
  <c r="BD16" i="18" s="1"/>
  <c r="AW16" i="18"/>
  <c r="AV16" i="18"/>
  <c r="AU16" i="18"/>
  <c r="AT16" i="18"/>
  <c r="AS16" i="18"/>
  <c r="AR16" i="18"/>
  <c r="AX16" i="18" s="1"/>
  <c r="K16" i="18"/>
  <c r="A16" i="18"/>
  <c r="BK15" i="18"/>
  <c r="BF15" i="18"/>
  <c r="BE15" i="18"/>
  <c r="BB15" i="18"/>
  <c r="BC15" i="18" s="1"/>
  <c r="BD15" i="18" s="1"/>
  <c r="BA15" i="18"/>
  <c r="AZ15" i="18"/>
  <c r="AW15" i="18"/>
  <c r="AV15" i="18"/>
  <c r="AU15" i="18"/>
  <c r="AT15" i="18"/>
  <c r="AX15" i="18" s="1"/>
  <c r="AS15" i="18"/>
  <c r="AR15" i="18"/>
  <c r="K15" i="18"/>
  <c r="A15" i="18"/>
  <c r="BK14" i="18"/>
  <c r="BF14" i="18"/>
  <c r="BE14" i="18"/>
  <c r="BC14" i="18"/>
  <c r="BD14" i="18" s="1"/>
  <c r="BL14" i="18" s="1"/>
  <c r="BB14" i="18"/>
  <c r="BA14" i="18"/>
  <c r="AZ14" i="18"/>
  <c r="AW14" i="18"/>
  <c r="AV14" i="18"/>
  <c r="AU14" i="18"/>
  <c r="AT14" i="18"/>
  <c r="BG14" i="18" s="1"/>
  <c r="BH14" i="18" s="1"/>
  <c r="AS14" i="18"/>
  <c r="AR14" i="18"/>
  <c r="K14" i="18"/>
  <c r="A14" i="18"/>
  <c r="BK13" i="18"/>
  <c r="BF13" i="18"/>
  <c r="BE13" i="18"/>
  <c r="BB13" i="18"/>
  <c r="BA13" i="18"/>
  <c r="AZ13" i="18"/>
  <c r="BC13" i="18" s="1"/>
  <c r="BD13" i="18" s="1"/>
  <c r="AW13" i="18"/>
  <c r="AV13" i="18"/>
  <c r="AU13" i="18"/>
  <c r="AT13" i="18"/>
  <c r="AS13" i="18"/>
  <c r="AR13" i="18"/>
  <c r="AX13" i="18" s="1"/>
  <c r="K13" i="18"/>
  <c r="A13" i="18"/>
  <c r="BK12" i="18"/>
  <c r="BF12" i="18"/>
  <c r="BE12" i="18"/>
  <c r="BB12" i="18"/>
  <c r="BA12" i="18"/>
  <c r="AZ12" i="18"/>
  <c r="BC12" i="18" s="1"/>
  <c r="BD12" i="18" s="1"/>
  <c r="AW12" i="18"/>
  <c r="AV12" i="18"/>
  <c r="AU12" i="18"/>
  <c r="AT12" i="18"/>
  <c r="AS12" i="18"/>
  <c r="AR12" i="18"/>
  <c r="AX12" i="18" s="1"/>
  <c r="K12" i="18"/>
  <c r="A12" i="18"/>
  <c r="BK11" i="18"/>
  <c r="BF11" i="18"/>
  <c r="BE11" i="18"/>
  <c r="BB11" i="18"/>
  <c r="BC11" i="18" s="1"/>
  <c r="BD11" i="18" s="1"/>
  <c r="BA11" i="18"/>
  <c r="AZ11" i="18"/>
  <c r="AW11" i="18"/>
  <c r="AV11" i="18"/>
  <c r="AU11" i="18"/>
  <c r="AT11" i="18"/>
  <c r="AX11" i="18" s="1"/>
  <c r="AS11" i="18"/>
  <c r="AR11" i="18"/>
  <c r="K11" i="18"/>
  <c r="A11" i="18"/>
  <c r="BK10" i="18"/>
  <c r="BF10" i="18"/>
  <c r="BE10" i="18"/>
  <c r="BC10" i="18"/>
  <c r="BD10" i="18" s="1"/>
  <c r="BL10" i="18" s="1"/>
  <c r="BB10" i="18"/>
  <c r="BA10" i="18"/>
  <c r="AZ10" i="18"/>
  <c r="AW10" i="18"/>
  <c r="AV10" i="18"/>
  <c r="AU10" i="18"/>
  <c r="AT10" i="18"/>
  <c r="BG10" i="18" s="1"/>
  <c r="BH10" i="18" s="1"/>
  <c r="AS10" i="18"/>
  <c r="AR10" i="18"/>
  <c r="K10" i="18"/>
  <c r="A10" i="18"/>
  <c r="BK9" i="18"/>
  <c r="BF9" i="18"/>
  <c r="BE9" i="18"/>
  <c r="BB9" i="18"/>
  <c r="BA9" i="18"/>
  <c r="AZ9" i="18"/>
  <c r="BC9" i="18" s="1"/>
  <c r="BD9" i="18" s="1"/>
  <c r="AW9" i="18"/>
  <c r="AV9" i="18"/>
  <c r="AU9" i="18"/>
  <c r="AT9" i="18"/>
  <c r="AS9" i="18"/>
  <c r="AR9" i="18"/>
  <c r="AX9" i="18" s="1"/>
  <c r="BF2" i="18" s="1"/>
  <c r="K9" i="18"/>
  <c r="A9" i="18"/>
  <c r="P4" i="18"/>
  <c r="M8" i="18" s="1"/>
  <c r="N8" i="18" s="1"/>
  <c r="BB3" i="18"/>
  <c r="BA3" i="18"/>
  <c r="AX3" i="18"/>
  <c r="BC1" i="18"/>
  <c r="BG21" i="18" s="1"/>
  <c r="BH21" i="18" s="1"/>
  <c r="BK21" i="17"/>
  <c r="BF21" i="17"/>
  <c r="BE21" i="17"/>
  <c r="BB21" i="17"/>
  <c r="BA21" i="17"/>
  <c r="AZ21" i="17"/>
  <c r="BC21" i="17" s="1"/>
  <c r="BD21" i="17" s="1"/>
  <c r="AW21" i="17"/>
  <c r="AV21" i="17"/>
  <c r="AU21" i="17"/>
  <c r="AT21" i="17"/>
  <c r="AS21" i="17"/>
  <c r="AR21" i="17"/>
  <c r="AX21" i="17" s="1"/>
  <c r="K21" i="17"/>
  <c r="A21" i="17"/>
  <c r="BK20" i="17"/>
  <c r="BF20" i="17"/>
  <c r="BE20" i="17"/>
  <c r="BB20" i="17"/>
  <c r="BA20" i="17"/>
  <c r="AZ20" i="17"/>
  <c r="BC20" i="17" s="1"/>
  <c r="BD20" i="17" s="1"/>
  <c r="AW20" i="17"/>
  <c r="AV20" i="17"/>
  <c r="AU20" i="17"/>
  <c r="AT20" i="17"/>
  <c r="AS20" i="17"/>
  <c r="AR20" i="17"/>
  <c r="AX20" i="17" s="1"/>
  <c r="K20" i="17"/>
  <c r="A20" i="17"/>
  <c r="BK19" i="17"/>
  <c r="BF19" i="17"/>
  <c r="BE19" i="17"/>
  <c r="BB19" i="17"/>
  <c r="BC19" i="17" s="1"/>
  <c r="BD19" i="17" s="1"/>
  <c r="BA19" i="17"/>
  <c r="AZ19" i="17"/>
  <c r="AW19" i="17"/>
  <c r="AV19" i="17"/>
  <c r="AU19" i="17"/>
  <c r="AT19" i="17"/>
  <c r="AX19" i="17" s="1"/>
  <c r="AS19" i="17"/>
  <c r="AR19" i="17"/>
  <c r="K19" i="17"/>
  <c r="A19" i="17"/>
  <c r="BK18" i="17"/>
  <c r="BF18" i="17"/>
  <c r="BE18" i="17"/>
  <c r="BC18" i="17"/>
  <c r="BD18" i="17" s="1"/>
  <c r="BL18" i="17" s="1"/>
  <c r="BB18" i="17"/>
  <c r="BA18" i="17"/>
  <c r="AZ18" i="17"/>
  <c r="AW18" i="17"/>
  <c r="AV18" i="17"/>
  <c r="AU18" i="17"/>
  <c r="AT18" i="17"/>
  <c r="BG18" i="17" s="1"/>
  <c r="BH18" i="17" s="1"/>
  <c r="AS18" i="17"/>
  <c r="AR18" i="17"/>
  <c r="K18" i="17"/>
  <c r="A18" i="17"/>
  <c r="BK17" i="17"/>
  <c r="BF17" i="17"/>
  <c r="BE17" i="17"/>
  <c r="BB17" i="17"/>
  <c r="BA17" i="17"/>
  <c r="AZ17" i="17"/>
  <c r="BC17" i="17" s="1"/>
  <c r="BD17" i="17" s="1"/>
  <c r="AW17" i="17"/>
  <c r="AV17" i="17"/>
  <c r="AU17" i="17"/>
  <c r="AT17" i="17"/>
  <c r="AS17" i="17"/>
  <c r="AR17" i="17"/>
  <c r="AX17" i="17" s="1"/>
  <c r="K17" i="17"/>
  <c r="A17" i="17"/>
  <c r="BK16" i="17"/>
  <c r="BF16" i="17"/>
  <c r="BE16" i="17"/>
  <c r="BB16" i="17"/>
  <c r="BA16" i="17"/>
  <c r="AZ16" i="17"/>
  <c r="BC16" i="17" s="1"/>
  <c r="BD16" i="17" s="1"/>
  <c r="AW16" i="17"/>
  <c r="AV16" i="17"/>
  <c r="AU16" i="17"/>
  <c r="AT16" i="17"/>
  <c r="AS16" i="17"/>
  <c r="AR16" i="17"/>
  <c r="AX16" i="17" s="1"/>
  <c r="K16" i="17"/>
  <c r="A16" i="17"/>
  <c r="BK15" i="17"/>
  <c r="BF15" i="17"/>
  <c r="BE15" i="17"/>
  <c r="BB15" i="17"/>
  <c r="BC15" i="17" s="1"/>
  <c r="BD15" i="17" s="1"/>
  <c r="BA15" i="17"/>
  <c r="AZ15" i="17"/>
  <c r="AW15" i="17"/>
  <c r="AV15" i="17"/>
  <c r="AU15" i="17"/>
  <c r="AT15" i="17"/>
  <c r="AX15" i="17" s="1"/>
  <c r="AS15" i="17"/>
  <c r="AR15" i="17"/>
  <c r="K15" i="17"/>
  <c r="A15" i="17"/>
  <c r="BK14" i="17"/>
  <c r="BF14" i="17"/>
  <c r="BE14" i="17"/>
  <c r="BC14" i="17"/>
  <c r="BD14" i="17" s="1"/>
  <c r="BL14" i="17" s="1"/>
  <c r="BB14" i="17"/>
  <c r="BA14" i="17"/>
  <c r="AZ14" i="17"/>
  <c r="AW14" i="17"/>
  <c r="AV14" i="17"/>
  <c r="AU14" i="17"/>
  <c r="AT14" i="17"/>
  <c r="BG14" i="17" s="1"/>
  <c r="BH14" i="17" s="1"/>
  <c r="AS14" i="17"/>
  <c r="AR14" i="17"/>
  <c r="K14" i="17"/>
  <c r="A14" i="17"/>
  <c r="BK13" i="17"/>
  <c r="BF13" i="17"/>
  <c r="BE13" i="17"/>
  <c r="BB13" i="17"/>
  <c r="BA13" i="17"/>
  <c r="AZ13" i="17"/>
  <c r="BC13" i="17" s="1"/>
  <c r="BD13" i="17" s="1"/>
  <c r="AW13" i="17"/>
  <c r="AV13" i="17"/>
  <c r="AU13" i="17"/>
  <c r="AT13" i="17"/>
  <c r="AS13" i="17"/>
  <c r="AR13" i="17"/>
  <c r="AX13" i="17" s="1"/>
  <c r="K13" i="17"/>
  <c r="A13" i="17"/>
  <c r="BK12" i="17"/>
  <c r="BF12" i="17"/>
  <c r="BE12" i="17"/>
  <c r="BB12" i="17"/>
  <c r="BA12" i="17"/>
  <c r="AZ12" i="17"/>
  <c r="BC12" i="17" s="1"/>
  <c r="BD12" i="17" s="1"/>
  <c r="AW12" i="17"/>
  <c r="AV12" i="17"/>
  <c r="AU12" i="17"/>
  <c r="AT12" i="17"/>
  <c r="AS12" i="17"/>
  <c r="AR12" i="17"/>
  <c r="AX12" i="17" s="1"/>
  <c r="K12" i="17"/>
  <c r="A12" i="17"/>
  <c r="BK11" i="17"/>
  <c r="BF11" i="17"/>
  <c r="BE11" i="17"/>
  <c r="BB11" i="17"/>
  <c r="BC11" i="17" s="1"/>
  <c r="BD11" i="17" s="1"/>
  <c r="BA11" i="17"/>
  <c r="AZ11" i="17"/>
  <c r="AW11" i="17"/>
  <c r="AV11" i="17"/>
  <c r="AU11" i="17"/>
  <c r="AT11" i="17"/>
  <c r="AX11" i="17" s="1"/>
  <c r="AS11" i="17"/>
  <c r="AR11" i="17"/>
  <c r="K11" i="17"/>
  <c r="A11" i="17"/>
  <c r="BK10" i="17"/>
  <c r="BF10" i="17"/>
  <c r="BE10" i="17"/>
  <c r="BC10" i="17"/>
  <c r="BD10" i="17" s="1"/>
  <c r="BB10" i="17"/>
  <c r="BA10" i="17"/>
  <c r="AZ10" i="17"/>
  <c r="AW10" i="17"/>
  <c r="AV10" i="17"/>
  <c r="AU10" i="17"/>
  <c r="AT10" i="17"/>
  <c r="BG10" i="17" s="1"/>
  <c r="BH10" i="17" s="1"/>
  <c r="AS10" i="17"/>
  <c r="AR10" i="17"/>
  <c r="K10" i="17"/>
  <c r="A10" i="17"/>
  <c r="BK9" i="17"/>
  <c r="BF9" i="17"/>
  <c r="BE9" i="17"/>
  <c r="BB9" i="17"/>
  <c r="BA9" i="17"/>
  <c r="AZ9" i="17"/>
  <c r="BC9" i="17" s="1"/>
  <c r="BD9" i="17" s="1"/>
  <c r="AW9" i="17"/>
  <c r="AV9" i="17"/>
  <c r="AU9" i="17"/>
  <c r="AT9" i="17"/>
  <c r="AS9" i="17"/>
  <c r="AR9" i="17"/>
  <c r="AX9" i="17" s="1"/>
  <c r="BF2" i="17" s="1"/>
  <c r="K9" i="17"/>
  <c r="A9" i="17"/>
  <c r="P4" i="17"/>
  <c r="BB3" i="17"/>
  <c r="AX3" i="17"/>
  <c r="BC1" i="17"/>
  <c r="BG21" i="17" s="1"/>
  <c r="BH21" i="17" s="1"/>
  <c r="BK21" i="16"/>
  <c r="BF21" i="16"/>
  <c r="BE21" i="16"/>
  <c r="BD21" i="16"/>
  <c r="BB21" i="16"/>
  <c r="BA21" i="16"/>
  <c r="AZ21" i="16"/>
  <c r="BC21" i="16" s="1"/>
  <c r="AW21" i="16"/>
  <c r="AV21" i="16"/>
  <c r="AU21" i="16"/>
  <c r="AT21" i="16"/>
  <c r="AS21" i="16"/>
  <c r="AR21" i="16"/>
  <c r="K21" i="16"/>
  <c r="A21" i="16"/>
  <c r="BK20" i="16"/>
  <c r="BF20" i="16"/>
  <c r="BE20" i="16"/>
  <c r="BB20" i="16"/>
  <c r="BA20" i="16"/>
  <c r="BC20" i="16" s="1"/>
  <c r="BD20" i="16" s="1"/>
  <c r="AZ20" i="16"/>
  <c r="AW20" i="16"/>
  <c r="AV20" i="16"/>
  <c r="AU20" i="16"/>
  <c r="AT20" i="16"/>
  <c r="AS20" i="16"/>
  <c r="AR20" i="16"/>
  <c r="AX20" i="16" s="1"/>
  <c r="K20" i="16"/>
  <c r="A20" i="16"/>
  <c r="BK19" i="16"/>
  <c r="BF19" i="16"/>
  <c r="BE19" i="16"/>
  <c r="BB19" i="16"/>
  <c r="BA19" i="16"/>
  <c r="AZ19" i="16"/>
  <c r="AW19" i="16"/>
  <c r="AV19" i="16"/>
  <c r="AU19" i="16"/>
  <c r="AT19" i="16"/>
  <c r="AS19" i="16"/>
  <c r="AR19" i="16"/>
  <c r="K19" i="16"/>
  <c r="A19" i="16"/>
  <c r="BK18" i="16"/>
  <c r="BF18" i="16"/>
  <c r="BE18" i="16"/>
  <c r="BC18" i="16"/>
  <c r="BD18" i="16" s="1"/>
  <c r="BB18" i="16"/>
  <c r="BA18" i="16"/>
  <c r="AZ18" i="16"/>
  <c r="AW18" i="16"/>
  <c r="AV18" i="16"/>
  <c r="AU18" i="16"/>
  <c r="AT18" i="16"/>
  <c r="AX18" i="16" s="1"/>
  <c r="AS18" i="16"/>
  <c r="AR18" i="16"/>
  <c r="K18" i="16"/>
  <c r="A18" i="16"/>
  <c r="BK17" i="16"/>
  <c r="BF17" i="16"/>
  <c r="BE17" i="16"/>
  <c r="BB17" i="16"/>
  <c r="BA17" i="16"/>
  <c r="AZ17" i="16"/>
  <c r="BC17" i="16" s="1"/>
  <c r="BD17" i="16" s="1"/>
  <c r="AW17" i="16"/>
  <c r="AV17" i="16"/>
  <c r="AU17" i="16"/>
  <c r="AT17" i="16"/>
  <c r="AS17" i="16"/>
  <c r="AR17" i="16"/>
  <c r="K17" i="16"/>
  <c r="A17" i="16"/>
  <c r="BK16" i="16"/>
  <c r="BF16" i="16"/>
  <c r="BE16" i="16"/>
  <c r="BB16" i="16"/>
  <c r="BA16" i="16"/>
  <c r="BC16" i="16" s="1"/>
  <c r="BD16" i="16" s="1"/>
  <c r="AZ16" i="16"/>
  <c r="AW16" i="16"/>
  <c r="AV16" i="16"/>
  <c r="AU16" i="16"/>
  <c r="AT16" i="16"/>
  <c r="AS16" i="16"/>
  <c r="AR16" i="16"/>
  <c r="AX16" i="16" s="1"/>
  <c r="K16" i="16"/>
  <c r="A16" i="16"/>
  <c r="BK15" i="16"/>
  <c r="BF15" i="16"/>
  <c r="BE15" i="16"/>
  <c r="BB15" i="16"/>
  <c r="BC15" i="16" s="1"/>
  <c r="BD15" i="16" s="1"/>
  <c r="BA15" i="16"/>
  <c r="AZ15" i="16"/>
  <c r="AW15" i="16"/>
  <c r="AV15" i="16"/>
  <c r="AU15" i="16"/>
  <c r="AT15" i="16"/>
  <c r="AS15" i="16"/>
  <c r="AR15" i="16"/>
  <c r="K15" i="16"/>
  <c r="A15" i="16"/>
  <c r="BK14" i="16"/>
  <c r="BF14" i="16"/>
  <c r="BE14" i="16"/>
  <c r="BC14" i="16"/>
  <c r="BD14" i="16" s="1"/>
  <c r="BB14" i="16"/>
  <c r="BA14" i="16"/>
  <c r="AZ14" i="16"/>
  <c r="AW14" i="16"/>
  <c r="AV14" i="16"/>
  <c r="AU14" i="16"/>
  <c r="AT14" i="16"/>
  <c r="AX14" i="16" s="1"/>
  <c r="AS14" i="16"/>
  <c r="AR14" i="16"/>
  <c r="K14" i="16"/>
  <c r="A14" i="16"/>
  <c r="BK13" i="16"/>
  <c r="BF13" i="16"/>
  <c r="BE13" i="16"/>
  <c r="BD13" i="16"/>
  <c r="BB13" i="16"/>
  <c r="BA13" i="16"/>
  <c r="AZ13" i="16"/>
  <c r="BC13" i="16" s="1"/>
  <c r="AW13" i="16"/>
  <c r="AV13" i="16"/>
  <c r="AU13" i="16"/>
  <c r="AT13" i="16"/>
  <c r="AS13" i="16"/>
  <c r="AR13" i="16"/>
  <c r="K13" i="16"/>
  <c r="A13" i="16"/>
  <c r="BK12" i="16"/>
  <c r="BF12" i="16"/>
  <c r="BE12" i="16"/>
  <c r="BB12" i="16"/>
  <c r="BA12" i="16"/>
  <c r="BC12" i="16" s="1"/>
  <c r="BD12" i="16" s="1"/>
  <c r="AZ12" i="16"/>
  <c r="AW12" i="16"/>
  <c r="AV12" i="16"/>
  <c r="AU12" i="16"/>
  <c r="AT12" i="16"/>
  <c r="AS12" i="16"/>
  <c r="AR12" i="16"/>
  <c r="AX12" i="16" s="1"/>
  <c r="K12" i="16"/>
  <c r="A12" i="16"/>
  <c r="BK11" i="16"/>
  <c r="BF11" i="16"/>
  <c r="BE11" i="16"/>
  <c r="BB11" i="16"/>
  <c r="BC11" i="16" s="1"/>
  <c r="BD11" i="16" s="1"/>
  <c r="BA11" i="16"/>
  <c r="AZ11" i="16"/>
  <c r="AW11" i="16"/>
  <c r="AV11" i="16"/>
  <c r="AU11" i="16"/>
  <c r="AT11" i="16"/>
  <c r="AX11" i="16" s="1"/>
  <c r="AS11" i="16"/>
  <c r="AR11" i="16"/>
  <c r="K11" i="16"/>
  <c r="A11" i="16"/>
  <c r="BK10" i="16"/>
  <c r="BF10" i="16"/>
  <c r="BE10" i="16"/>
  <c r="BC10" i="16"/>
  <c r="BD10" i="16" s="1"/>
  <c r="BL10" i="16" s="1"/>
  <c r="BB10" i="16"/>
  <c r="BA10" i="16"/>
  <c r="AZ10" i="16"/>
  <c r="AW10" i="16"/>
  <c r="AV10" i="16"/>
  <c r="AU10" i="16"/>
  <c r="AT10" i="16"/>
  <c r="AX10" i="16" s="1"/>
  <c r="AS10" i="16"/>
  <c r="AR10" i="16"/>
  <c r="K10" i="16"/>
  <c r="A10" i="16"/>
  <c r="BK9" i="16"/>
  <c r="BF9" i="16"/>
  <c r="BE9" i="16"/>
  <c r="BD9" i="16"/>
  <c r="BB9" i="16"/>
  <c r="BA9" i="16"/>
  <c r="AZ9" i="16"/>
  <c r="BC9" i="16" s="1"/>
  <c r="AW9" i="16"/>
  <c r="AV9" i="16"/>
  <c r="AU9" i="16"/>
  <c r="AT9" i="16"/>
  <c r="AS9" i="16"/>
  <c r="AR9" i="16"/>
  <c r="AX9" i="16" s="1"/>
  <c r="K9" i="16"/>
  <c r="A9" i="16"/>
  <c r="P4" i="16"/>
  <c r="BC1" i="16"/>
  <c r="BG10" i="16" s="1"/>
  <c r="BH10" i="16" s="1"/>
  <c r="BK21" i="15"/>
  <c r="BF21" i="15"/>
  <c r="BE21" i="15"/>
  <c r="BC21" i="15"/>
  <c r="BD21" i="15" s="1"/>
  <c r="BB21" i="15"/>
  <c r="BA21" i="15"/>
  <c r="AZ21" i="15"/>
  <c r="AW21" i="15"/>
  <c r="AV21" i="15"/>
  <c r="AU21" i="15"/>
  <c r="AT21" i="15"/>
  <c r="AX21" i="15" s="1"/>
  <c r="AS21" i="15"/>
  <c r="AR21" i="15"/>
  <c r="K21" i="15"/>
  <c r="A21" i="15"/>
  <c r="BK20" i="15"/>
  <c r="BF20" i="15"/>
  <c r="BE20" i="15"/>
  <c r="BB20" i="15"/>
  <c r="BA20" i="15"/>
  <c r="AZ20" i="15"/>
  <c r="BC20" i="15" s="1"/>
  <c r="BD20" i="15" s="1"/>
  <c r="AW20" i="15"/>
  <c r="AV20" i="15"/>
  <c r="AU20" i="15"/>
  <c r="AT20" i="15"/>
  <c r="AS20" i="15"/>
  <c r="AR20" i="15"/>
  <c r="AX20" i="15" s="1"/>
  <c r="K20" i="15"/>
  <c r="A20" i="15"/>
  <c r="BK19" i="15"/>
  <c r="BF19" i="15"/>
  <c r="BE19" i="15"/>
  <c r="BB19" i="15"/>
  <c r="BA19" i="15"/>
  <c r="AZ19" i="15"/>
  <c r="BC19" i="15" s="1"/>
  <c r="BD19" i="15" s="1"/>
  <c r="AW19" i="15"/>
  <c r="AV19" i="15"/>
  <c r="AU19" i="15"/>
  <c r="AT19" i="15"/>
  <c r="AS19" i="15"/>
  <c r="AR19" i="15"/>
  <c r="AX19" i="15" s="1"/>
  <c r="K19" i="15"/>
  <c r="A19" i="15"/>
  <c r="BK18" i="15"/>
  <c r="BF18" i="15"/>
  <c r="BE18" i="15"/>
  <c r="BB18" i="15"/>
  <c r="BC18" i="15" s="1"/>
  <c r="BD18" i="15" s="1"/>
  <c r="BA18" i="15"/>
  <c r="AZ18" i="15"/>
  <c r="AW18" i="15"/>
  <c r="AV18" i="15"/>
  <c r="AU18" i="15"/>
  <c r="AT18" i="15"/>
  <c r="AS18" i="15"/>
  <c r="AR18" i="15"/>
  <c r="AX18" i="15" s="1"/>
  <c r="K18" i="15"/>
  <c r="A18" i="15"/>
  <c r="BK17" i="15"/>
  <c r="BF17" i="15"/>
  <c r="BE17" i="15"/>
  <c r="BC17" i="15"/>
  <c r="BD17" i="15" s="1"/>
  <c r="BB17" i="15"/>
  <c r="BA17" i="15"/>
  <c r="AZ17" i="15"/>
  <c r="AW17" i="15"/>
  <c r="AV17" i="15"/>
  <c r="AU17" i="15"/>
  <c r="AT17" i="15"/>
  <c r="AX17" i="15" s="1"/>
  <c r="AS17" i="15"/>
  <c r="AR17" i="15"/>
  <c r="K17" i="15"/>
  <c r="A17" i="15"/>
  <c r="BK16" i="15"/>
  <c r="BF16" i="15"/>
  <c r="BE16" i="15"/>
  <c r="BB16" i="15"/>
  <c r="BA16" i="15"/>
  <c r="AZ16" i="15"/>
  <c r="BC16" i="15" s="1"/>
  <c r="BD16" i="15" s="1"/>
  <c r="AW16" i="15"/>
  <c r="AV16" i="15"/>
  <c r="AU16" i="15"/>
  <c r="AT16" i="15"/>
  <c r="AS16" i="15"/>
  <c r="AR16" i="15"/>
  <c r="AX16" i="15" s="1"/>
  <c r="K16" i="15"/>
  <c r="A16" i="15"/>
  <c r="BK15" i="15"/>
  <c r="BF15" i="15"/>
  <c r="BE15" i="15"/>
  <c r="BB15" i="15"/>
  <c r="BA15" i="15"/>
  <c r="BC15" i="15" s="1"/>
  <c r="BD15" i="15" s="1"/>
  <c r="AZ15" i="15"/>
  <c r="AW15" i="15"/>
  <c r="AV15" i="15"/>
  <c r="AU15" i="15"/>
  <c r="AT15" i="15"/>
  <c r="AS15" i="15"/>
  <c r="AR15" i="15"/>
  <c r="AX15" i="15" s="1"/>
  <c r="K15" i="15"/>
  <c r="A15" i="15"/>
  <c r="BK14" i="15"/>
  <c r="BF14" i="15"/>
  <c r="BE14" i="15"/>
  <c r="BB14" i="15"/>
  <c r="BA14" i="15"/>
  <c r="AZ14" i="15"/>
  <c r="BC14" i="15" s="1"/>
  <c r="BD14" i="15" s="1"/>
  <c r="AW14" i="15"/>
  <c r="AV14" i="15"/>
  <c r="AU14" i="15"/>
  <c r="AT14" i="15"/>
  <c r="AS14" i="15"/>
  <c r="AR14" i="15"/>
  <c r="AX14" i="15" s="1"/>
  <c r="K14" i="15"/>
  <c r="A14" i="15"/>
  <c r="BK13" i="15"/>
  <c r="BF13" i="15"/>
  <c r="BE13" i="15"/>
  <c r="BC13" i="15"/>
  <c r="BD13" i="15" s="1"/>
  <c r="BB13" i="15"/>
  <c r="BA13" i="15"/>
  <c r="AZ13" i="15"/>
  <c r="AW13" i="15"/>
  <c r="AV13" i="15"/>
  <c r="AU13" i="15"/>
  <c r="AT13" i="15"/>
  <c r="AX13" i="15" s="1"/>
  <c r="AS13" i="15"/>
  <c r="AR13" i="15"/>
  <c r="K13" i="15"/>
  <c r="A13" i="15"/>
  <c r="BK12" i="15"/>
  <c r="BF12" i="15"/>
  <c r="BE12" i="15"/>
  <c r="BB12" i="15"/>
  <c r="BA12" i="15"/>
  <c r="AZ12" i="15"/>
  <c r="BC12" i="15" s="1"/>
  <c r="BD12" i="15" s="1"/>
  <c r="AW12" i="15"/>
  <c r="AV12" i="15"/>
  <c r="AU12" i="15"/>
  <c r="AT12" i="15"/>
  <c r="AS12" i="15"/>
  <c r="AR12" i="15"/>
  <c r="AX12" i="15" s="1"/>
  <c r="K12" i="15"/>
  <c r="A12" i="15"/>
  <c r="BK11" i="15"/>
  <c r="BF11" i="15"/>
  <c r="BE11" i="15"/>
  <c r="BB11" i="15"/>
  <c r="BA11" i="15"/>
  <c r="BC11" i="15" s="1"/>
  <c r="BD11" i="15" s="1"/>
  <c r="AZ11" i="15"/>
  <c r="AW11" i="15"/>
  <c r="AV11" i="15"/>
  <c r="AU11" i="15"/>
  <c r="AT11" i="15"/>
  <c r="AS11" i="15"/>
  <c r="AR11" i="15"/>
  <c r="AX11" i="15" s="1"/>
  <c r="K11" i="15"/>
  <c r="A11" i="15"/>
  <c r="BK10" i="15"/>
  <c r="BF10" i="15"/>
  <c r="BE10" i="15"/>
  <c r="BB10" i="15"/>
  <c r="BA10" i="15"/>
  <c r="AZ10" i="15"/>
  <c r="BC10" i="15" s="1"/>
  <c r="BD10" i="15" s="1"/>
  <c r="AW10" i="15"/>
  <c r="AV10" i="15"/>
  <c r="AU10" i="15"/>
  <c r="AT10" i="15"/>
  <c r="AS10" i="15"/>
  <c r="AR10" i="15"/>
  <c r="AX10" i="15" s="1"/>
  <c r="K10" i="15"/>
  <c r="A10" i="15"/>
  <c r="BF9" i="15"/>
  <c r="BE9" i="15"/>
  <c r="BB9" i="15"/>
  <c r="BA9" i="15"/>
  <c r="AZ9" i="15"/>
  <c r="BC9" i="15" s="1"/>
  <c r="BD9" i="15" s="1"/>
  <c r="AW9" i="15"/>
  <c r="AV9" i="15"/>
  <c r="AU9" i="15"/>
  <c r="AT9" i="15"/>
  <c r="AX9" i="15" s="1"/>
  <c r="BF2" i="15" s="1"/>
  <c r="AS9" i="15"/>
  <c r="AR9" i="15"/>
  <c r="K9" i="15"/>
  <c r="A9" i="15"/>
  <c r="P4" i="15"/>
  <c r="BC1" i="15"/>
  <c r="BG20" i="15" s="1"/>
  <c r="BH20" i="15" s="1"/>
  <c r="A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9" i="12"/>
  <c r="BK9" i="12"/>
  <c r="BK10" i="12"/>
  <c r="BK12" i="12"/>
  <c r="BK13" i="12"/>
  <c r="BK14" i="12"/>
  <c r="BK16" i="12"/>
  <c r="BK17" i="12"/>
  <c r="BK18" i="12"/>
  <c r="BK20" i="12"/>
  <c r="BA10" i="12"/>
  <c r="BB10" i="12"/>
  <c r="BE10" i="12"/>
  <c r="BF10" i="12"/>
  <c r="BA11" i="12"/>
  <c r="BB11" i="12"/>
  <c r="BE11" i="12"/>
  <c r="BF11" i="12"/>
  <c r="BK11" i="12"/>
  <c r="BA12" i="12"/>
  <c r="BB12" i="12"/>
  <c r="BE12" i="12"/>
  <c r="BF12" i="12"/>
  <c r="BA13" i="12"/>
  <c r="BB13" i="12"/>
  <c r="BE13" i="12"/>
  <c r="BF13" i="12"/>
  <c r="BA14" i="12"/>
  <c r="BB14" i="12"/>
  <c r="BE14" i="12"/>
  <c r="BF14" i="12"/>
  <c r="BA15" i="12"/>
  <c r="BB15" i="12"/>
  <c r="BE15" i="12"/>
  <c r="BF15" i="12"/>
  <c r="BK15" i="12"/>
  <c r="BA16" i="12"/>
  <c r="BB16" i="12"/>
  <c r="BE16" i="12"/>
  <c r="BF16" i="12"/>
  <c r="BA17" i="12"/>
  <c r="BB17" i="12"/>
  <c r="BE17" i="12"/>
  <c r="BF17" i="12"/>
  <c r="BA18" i="12"/>
  <c r="BB18" i="12"/>
  <c r="BE18" i="12"/>
  <c r="BF18" i="12"/>
  <c r="BA19" i="12"/>
  <c r="BB19" i="12"/>
  <c r="BE19" i="12"/>
  <c r="BF19" i="12"/>
  <c r="BK19" i="12"/>
  <c r="BA20" i="12"/>
  <c r="BB20" i="12"/>
  <c r="BE20" i="12"/>
  <c r="BF20" i="12"/>
  <c r="BA21" i="12"/>
  <c r="BB21" i="12"/>
  <c r="BE21" i="12"/>
  <c r="BF21" i="12"/>
  <c r="BK21" i="12"/>
  <c r="AZ10" i="12"/>
  <c r="AZ11" i="12"/>
  <c r="AZ12" i="12"/>
  <c r="AZ13" i="12"/>
  <c r="BC13" i="12" s="1"/>
  <c r="BD13" i="12" s="1"/>
  <c r="AZ14" i="12"/>
  <c r="AZ15" i="12"/>
  <c r="AZ16" i="12"/>
  <c r="AZ17" i="12"/>
  <c r="AZ18" i="12"/>
  <c r="AZ19" i="12"/>
  <c r="AZ20" i="12"/>
  <c r="AZ21" i="12"/>
  <c r="BC1" i="12"/>
  <c r="BG12" i="12" s="1"/>
  <c r="BF9" i="12"/>
  <c r="BE9" i="12"/>
  <c r="BB9" i="12"/>
  <c r="BA9" i="12"/>
  <c r="AZ9" i="12"/>
  <c r="BC9" i="12" s="1"/>
  <c r="BD9" i="12" s="1"/>
  <c r="AX12" i="12"/>
  <c r="AX13" i="12"/>
  <c r="AX14" i="12"/>
  <c r="AX15" i="12"/>
  <c r="AX16" i="12"/>
  <c r="AX17" i="12"/>
  <c r="AX18" i="12"/>
  <c r="AX19" i="12"/>
  <c r="AX20" i="12"/>
  <c r="AX21" i="12"/>
  <c r="AV10" i="12"/>
  <c r="AV11" i="12"/>
  <c r="AV12" i="12"/>
  <c r="AV13" i="12"/>
  <c r="AV14" i="12"/>
  <c r="AV15" i="12"/>
  <c r="AV16" i="12"/>
  <c r="AV17" i="12"/>
  <c r="AV18" i="12"/>
  <c r="AV19" i="12"/>
  <c r="AV20" i="12"/>
  <c r="AV21" i="12"/>
  <c r="AU10" i="12"/>
  <c r="AU11" i="12"/>
  <c r="AU12" i="12"/>
  <c r="AU13" i="12"/>
  <c r="AU14" i="12"/>
  <c r="AU15" i="12"/>
  <c r="AU16" i="12"/>
  <c r="AU17" i="12"/>
  <c r="AU18" i="12"/>
  <c r="AU19" i="12"/>
  <c r="AU20" i="12"/>
  <c r="AU21" i="12"/>
  <c r="AR9" i="12"/>
  <c r="AT10" i="12"/>
  <c r="AT11" i="12"/>
  <c r="AT12" i="12"/>
  <c r="AT13" i="12"/>
  <c r="AT14" i="12"/>
  <c r="AT15" i="12"/>
  <c r="AT16" i="12"/>
  <c r="AT17" i="12"/>
  <c r="AT18" i="12"/>
  <c r="AT19" i="12"/>
  <c r="AT20" i="12"/>
  <c r="AT21" i="12"/>
  <c r="AW12" i="12"/>
  <c r="AW10" i="12"/>
  <c r="AW11" i="12"/>
  <c r="AW13" i="12"/>
  <c r="AW14" i="12"/>
  <c r="AW15" i="12"/>
  <c r="AW16" i="12"/>
  <c r="AW17" i="12"/>
  <c r="AW18" i="12"/>
  <c r="AW19" i="12"/>
  <c r="AW20" i="12"/>
  <c r="AW21" i="12"/>
  <c r="AW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R10" i="12"/>
  <c r="AX10" i="12" s="1"/>
  <c r="AR11" i="12"/>
  <c r="AX11" i="12" s="1"/>
  <c r="AR12" i="12"/>
  <c r="AR13" i="12"/>
  <c r="AR14" i="12"/>
  <c r="AR15" i="12"/>
  <c r="AR16" i="12"/>
  <c r="AR17" i="12"/>
  <c r="AR18" i="12"/>
  <c r="AR19" i="12"/>
  <c r="AR20" i="12"/>
  <c r="AR21" i="12"/>
  <c r="A11" i="12"/>
  <c r="A10" i="12"/>
  <c r="AV9" i="12"/>
  <c r="K3" i="14"/>
  <c r="K2" i="14"/>
  <c r="K1" i="14"/>
  <c r="AU9" i="12"/>
  <c r="AT9" i="12"/>
  <c r="A12" i="12"/>
  <c r="A13" i="12"/>
  <c r="A14" i="12"/>
  <c r="A15" i="12"/>
  <c r="A16" i="12"/>
  <c r="A17" i="12"/>
  <c r="A18" i="12"/>
  <c r="A19" i="12"/>
  <c r="A20" i="12"/>
  <c r="A21" i="12"/>
  <c r="P5" i="12"/>
  <c r="M8" i="17" l="1"/>
  <c r="N8" i="17" s="1"/>
  <c r="O8" i="17" s="1"/>
  <c r="A1" i="17"/>
  <c r="M8" i="15"/>
  <c r="M7" i="15" s="1"/>
  <c r="A1" i="15"/>
  <c r="P5" i="16"/>
  <c r="A1" i="16"/>
  <c r="M8" i="16"/>
  <c r="N8" i="16" s="1"/>
  <c r="O8" i="16" s="1"/>
  <c r="BA3" i="15"/>
  <c r="BG11" i="12"/>
  <c r="P5" i="24"/>
  <c r="P5" i="22"/>
  <c r="P5" i="18"/>
  <c r="P5" i="17"/>
  <c r="AX14" i="25"/>
  <c r="N8" i="25"/>
  <c r="M7" i="25"/>
  <c r="AX17" i="25"/>
  <c r="AX13" i="25"/>
  <c r="AX15" i="25"/>
  <c r="BL21" i="25"/>
  <c r="BL9" i="25"/>
  <c r="AX9" i="25"/>
  <c r="BF2" i="25" s="1"/>
  <c r="AX11" i="25"/>
  <c r="BD1" i="25"/>
  <c r="AZ3" i="25"/>
  <c r="BG12" i="25"/>
  <c r="BH12" i="25" s="1"/>
  <c r="BL12" i="25" s="1"/>
  <c r="BG16" i="25"/>
  <c r="BH16" i="25" s="1"/>
  <c r="BL16" i="25" s="1"/>
  <c r="BG20" i="25"/>
  <c r="BH20" i="25" s="1"/>
  <c r="BL20" i="25" s="1"/>
  <c r="AX18" i="25"/>
  <c r="AY3" i="25"/>
  <c r="BD3" i="25" s="1"/>
  <c r="BC3" i="25"/>
  <c r="BG11" i="25"/>
  <c r="BH11" i="25" s="1"/>
  <c r="BL11" i="25" s="1"/>
  <c r="BG15" i="25"/>
  <c r="BH15" i="25" s="1"/>
  <c r="BL15" i="25" s="1"/>
  <c r="BG19" i="25"/>
  <c r="BH19" i="25" s="1"/>
  <c r="BL19" i="25" s="1"/>
  <c r="BA3" i="25"/>
  <c r="BG9" i="25"/>
  <c r="BH9" i="25" s="1"/>
  <c r="BG13" i="25"/>
  <c r="BH13" i="25" s="1"/>
  <c r="BL13" i="25" s="1"/>
  <c r="BG17" i="25"/>
  <c r="BH17" i="25" s="1"/>
  <c r="BL17" i="25" s="1"/>
  <c r="O8" i="24"/>
  <c r="N7" i="24"/>
  <c r="BL10" i="24"/>
  <c r="BL21" i="24"/>
  <c r="BD3" i="24"/>
  <c r="BH20" i="24"/>
  <c r="BL20" i="24" s="1"/>
  <c r="AX10" i="24"/>
  <c r="AY3" i="24"/>
  <c r="BC3" i="24"/>
  <c r="M7" i="24"/>
  <c r="BG11" i="24"/>
  <c r="BH11" i="24" s="1"/>
  <c r="BL11" i="24" s="1"/>
  <c r="BG15" i="24"/>
  <c r="BH15" i="24" s="1"/>
  <c r="BL15" i="24" s="1"/>
  <c r="BG19" i="24"/>
  <c r="BH19" i="24" s="1"/>
  <c r="BL19" i="24" s="1"/>
  <c r="AX14" i="24"/>
  <c r="AX18" i="24"/>
  <c r="BD1" i="24"/>
  <c r="AZ3" i="24"/>
  <c r="BG12" i="24"/>
  <c r="BH12" i="24" s="1"/>
  <c r="BL12" i="24" s="1"/>
  <c r="BG16" i="24"/>
  <c r="BH16" i="24" s="1"/>
  <c r="BL16" i="24" s="1"/>
  <c r="BG20" i="24"/>
  <c r="BG9" i="24"/>
  <c r="BH9" i="24" s="1"/>
  <c r="BL9" i="24" s="1"/>
  <c r="BG13" i="24"/>
  <c r="BH13" i="24" s="1"/>
  <c r="BL13" i="24" s="1"/>
  <c r="BG17" i="24"/>
  <c r="BH17" i="24" s="1"/>
  <c r="BL17" i="24" s="1"/>
  <c r="O8" i="23"/>
  <c r="N7" i="23"/>
  <c r="BL10" i="23"/>
  <c r="BL21" i="23"/>
  <c r="BD3" i="23"/>
  <c r="BG14" i="23"/>
  <c r="BH14" i="23" s="1"/>
  <c r="BL14" i="23" s="1"/>
  <c r="AY3" i="23"/>
  <c r="BC3" i="23"/>
  <c r="M7" i="23"/>
  <c r="BG11" i="23"/>
  <c r="BH11" i="23" s="1"/>
  <c r="BL11" i="23" s="1"/>
  <c r="BG15" i="23"/>
  <c r="BH15" i="23" s="1"/>
  <c r="BL15" i="23" s="1"/>
  <c r="BG19" i="23"/>
  <c r="BH19" i="23" s="1"/>
  <c r="BL19" i="23" s="1"/>
  <c r="AX10" i="23"/>
  <c r="AX18" i="23"/>
  <c r="BD1" i="23"/>
  <c r="AZ3" i="23"/>
  <c r="BG12" i="23"/>
  <c r="BH12" i="23" s="1"/>
  <c r="BL12" i="23" s="1"/>
  <c r="BG16" i="23"/>
  <c r="BH16" i="23" s="1"/>
  <c r="BL16" i="23" s="1"/>
  <c r="BG20" i="23"/>
  <c r="BH20" i="23" s="1"/>
  <c r="BL20" i="23" s="1"/>
  <c r="BG9" i="23"/>
  <c r="BH9" i="23" s="1"/>
  <c r="BL9" i="23" s="1"/>
  <c r="BG13" i="23"/>
  <c r="BH13" i="23" s="1"/>
  <c r="BL13" i="23" s="1"/>
  <c r="BG17" i="23"/>
  <c r="BH17" i="23" s="1"/>
  <c r="BL17" i="23" s="1"/>
  <c r="BL12" i="22"/>
  <c r="BL21" i="22"/>
  <c r="O8" i="22"/>
  <c r="N7" i="22"/>
  <c r="BH12" i="22"/>
  <c r="BL14" i="22"/>
  <c r="BH15" i="22"/>
  <c r="BL15" i="22" s="1"/>
  <c r="AX10" i="22"/>
  <c r="BG14" i="22"/>
  <c r="BH14" i="22" s="1"/>
  <c r="AY3" i="22"/>
  <c r="BD3" i="22" s="1"/>
  <c r="BG19" i="22"/>
  <c r="BH19" i="22" s="1"/>
  <c r="BL19" i="22" s="1"/>
  <c r="AX18" i="22"/>
  <c r="BC3" i="22"/>
  <c r="BG11" i="22"/>
  <c r="BH11" i="22" s="1"/>
  <c r="BL11" i="22" s="1"/>
  <c r="BD1" i="22"/>
  <c r="AZ3" i="22"/>
  <c r="BG12" i="22"/>
  <c r="BG16" i="22"/>
  <c r="BH16" i="22" s="1"/>
  <c r="BL16" i="22" s="1"/>
  <c r="BG20" i="22"/>
  <c r="BH20" i="22" s="1"/>
  <c r="BL20" i="22" s="1"/>
  <c r="M7" i="22"/>
  <c r="BG15" i="22"/>
  <c r="BA3" i="22"/>
  <c r="BG9" i="22"/>
  <c r="BH9" i="22" s="1"/>
  <c r="BL9" i="22" s="1"/>
  <c r="BG13" i="22"/>
  <c r="BH13" i="22" s="1"/>
  <c r="BL13" i="22" s="1"/>
  <c r="BG17" i="22"/>
  <c r="BH17" i="22" s="1"/>
  <c r="BL17" i="22" s="1"/>
  <c r="BD3" i="21"/>
  <c r="BH15" i="21"/>
  <c r="O8" i="21"/>
  <c r="N7" i="21"/>
  <c r="BL15" i="21"/>
  <c r="BL10" i="21"/>
  <c r="BH11" i="21"/>
  <c r="BL11" i="21" s="1"/>
  <c r="BL21" i="21"/>
  <c r="BH20" i="21"/>
  <c r="BL20" i="21" s="1"/>
  <c r="AX14" i="21"/>
  <c r="AY3" i="21"/>
  <c r="BC3" i="21"/>
  <c r="M7" i="21"/>
  <c r="BG11" i="21"/>
  <c r="BG15" i="21"/>
  <c r="BG19" i="21"/>
  <c r="BH19" i="21" s="1"/>
  <c r="BL19" i="21" s="1"/>
  <c r="BG18" i="21"/>
  <c r="BH18" i="21" s="1"/>
  <c r="BL18" i="21" s="1"/>
  <c r="BD1" i="21"/>
  <c r="AZ3" i="21"/>
  <c r="BG12" i="21"/>
  <c r="BH12" i="21" s="1"/>
  <c r="BL12" i="21" s="1"/>
  <c r="BG16" i="21"/>
  <c r="BH16" i="21" s="1"/>
  <c r="BL16" i="21" s="1"/>
  <c r="BG20" i="21"/>
  <c r="AX10" i="21"/>
  <c r="BA3" i="21"/>
  <c r="BG9" i="21"/>
  <c r="BH9" i="21" s="1"/>
  <c r="BL9" i="21" s="1"/>
  <c r="BG13" i="21"/>
  <c r="BH13" i="21" s="1"/>
  <c r="BL13" i="21" s="1"/>
  <c r="BG17" i="21"/>
  <c r="BH17" i="21" s="1"/>
  <c r="BL17" i="21" s="1"/>
  <c r="BL10" i="20"/>
  <c r="BL21" i="20"/>
  <c r="O8" i="20"/>
  <c r="N7" i="20"/>
  <c r="BL17" i="20"/>
  <c r="AX10" i="20"/>
  <c r="AX18" i="20"/>
  <c r="AY3" i="20"/>
  <c r="BD3" i="20" s="1"/>
  <c r="BC3" i="20"/>
  <c r="M7" i="20"/>
  <c r="BG11" i="20"/>
  <c r="BH11" i="20" s="1"/>
  <c r="BL11" i="20" s="1"/>
  <c r="BG15" i="20"/>
  <c r="BH15" i="20" s="1"/>
  <c r="BL15" i="20" s="1"/>
  <c r="BG19" i="20"/>
  <c r="BH19" i="20" s="1"/>
  <c r="BL19" i="20" s="1"/>
  <c r="AX14" i="20"/>
  <c r="BD1" i="20"/>
  <c r="AZ3" i="20"/>
  <c r="BG12" i="20"/>
  <c r="BH12" i="20" s="1"/>
  <c r="BL12" i="20" s="1"/>
  <c r="BG16" i="20"/>
  <c r="BH16" i="20" s="1"/>
  <c r="BL16" i="20" s="1"/>
  <c r="BG20" i="20"/>
  <c r="BH20" i="20" s="1"/>
  <c r="BL20" i="20" s="1"/>
  <c r="BG9" i="20"/>
  <c r="BH9" i="20" s="1"/>
  <c r="BL9" i="20" s="1"/>
  <c r="BG13" i="20"/>
  <c r="BH13" i="20" s="1"/>
  <c r="BL13" i="20" s="1"/>
  <c r="BG17" i="20"/>
  <c r="BH17" i="20" s="1"/>
  <c r="BL9" i="19"/>
  <c r="BL21" i="19"/>
  <c r="O8" i="19"/>
  <c r="N7" i="19"/>
  <c r="AX10" i="19"/>
  <c r="BG14" i="19"/>
  <c r="BH14" i="19" s="1"/>
  <c r="BL14" i="19" s="1"/>
  <c r="AY3" i="19"/>
  <c r="BC3" i="19"/>
  <c r="BD3" i="19" s="1"/>
  <c r="M7" i="19"/>
  <c r="BG11" i="19"/>
  <c r="BH11" i="19" s="1"/>
  <c r="BL11" i="19" s="1"/>
  <c r="BG15" i="19"/>
  <c r="BH15" i="19" s="1"/>
  <c r="BL15" i="19" s="1"/>
  <c r="BG19" i="19"/>
  <c r="BH19" i="19" s="1"/>
  <c r="BL19" i="19" s="1"/>
  <c r="AX18" i="19"/>
  <c r="BD1" i="19"/>
  <c r="AZ3" i="19"/>
  <c r="BG12" i="19"/>
  <c r="BH12" i="19" s="1"/>
  <c r="BL12" i="19" s="1"/>
  <c r="BG16" i="19"/>
  <c r="BH16" i="19" s="1"/>
  <c r="BL16" i="19" s="1"/>
  <c r="BG20" i="19"/>
  <c r="BH20" i="19" s="1"/>
  <c r="BL20" i="19" s="1"/>
  <c r="BG9" i="19"/>
  <c r="BH9" i="19" s="1"/>
  <c r="BG13" i="19"/>
  <c r="BH13" i="19" s="1"/>
  <c r="BL13" i="19" s="1"/>
  <c r="BG17" i="19"/>
  <c r="BH17" i="19" s="1"/>
  <c r="BL17" i="19" s="1"/>
  <c r="BL11" i="18"/>
  <c r="BH11" i="18"/>
  <c r="BL21" i="18"/>
  <c r="O8" i="18"/>
  <c r="N7" i="18"/>
  <c r="BL13" i="18"/>
  <c r="BH15" i="18"/>
  <c r="BL15" i="18" s="1"/>
  <c r="BD3" i="18"/>
  <c r="AX14" i="18"/>
  <c r="AX18" i="18"/>
  <c r="AY3" i="18"/>
  <c r="BC3" i="18"/>
  <c r="M7" i="18"/>
  <c r="BG11" i="18"/>
  <c r="BG15" i="18"/>
  <c r="BG19" i="18"/>
  <c r="BH19" i="18" s="1"/>
  <c r="BL19" i="18" s="1"/>
  <c r="BD1" i="18"/>
  <c r="AZ3" i="18"/>
  <c r="BG12" i="18"/>
  <c r="BH12" i="18" s="1"/>
  <c r="BL12" i="18" s="1"/>
  <c r="BG16" i="18"/>
  <c r="BH16" i="18" s="1"/>
  <c r="BL16" i="18" s="1"/>
  <c r="BG20" i="18"/>
  <c r="BH20" i="18" s="1"/>
  <c r="BL20" i="18" s="1"/>
  <c r="AX10" i="18"/>
  <c r="BG9" i="18"/>
  <c r="BH9" i="18" s="1"/>
  <c r="BL9" i="18" s="1"/>
  <c r="BG13" i="18"/>
  <c r="BH13" i="18" s="1"/>
  <c r="BG17" i="18"/>
  <c r="BH17" i="18" s="1"/>
  <c r="BL17" i="18" s="1"/>
  <c r="N7" i="17"/>
  <c r="BH15" i="17"/>
  <c r="BL15" i="17" s="1"/>
  <c r="BL21" i="17"/>
  <c r="BH19" i="17"/>
  <c r="BL19" i="17" s="1"/>
  <c r="BL10" i="17"/>
  <c r="AX14" i="17"/>
  <c r="AX18" i="17"/>
  <c r="AY3" i="17"/>
  <c r="BD3" i="17" s="1"/>
  <c r="M7" i="17"/>
  <c r="BG11" i="17"/>
  <c r="BH11" i="17" s="1"/>
  <c r="BL11" i="17" s="1"/>
  <c r="BG15" i="17"/>
  <c r="BG19" i="17"/>
  <c r="BD1" i="17"/>
  <c r="AZ3" i="17"/>
  <c r="BG12" i="17"/>
  <c r="BH12" i="17" s="1"/>
  <c r="BL12" i="17" s="1"/>
  <c r="BG16" i="17"/>
  <c r="BH16" i="17" s="1"/>
  <c r="BL16" i="17" s="1"/>
  <c r="BG20" i="17"/>
  <c r="BH20" i="17" s="1"/>
  <c r="BL20" i="17" s="1"/>
  <c r="AX10" i="17"/>
  <c r="BC3" i="17"/>
  <c r="BA3" i="17"/>
  <c r="BG9" i="17"/>
  <c r="BH9" i="17" s="1"/>
  <c r="BL9" i="17" s="1"/>
  <c r="BG13" i="17"/>
  <c r="BH13" i="17" s="1"/>
  <c r="BL13" i="17" s="1"/>
  <c r="BG17" i="17"/>
  <c r="BH17" i="17" s="1"/>
  <c r="BL17" i="17" s="1"/>
  <c r="BF2" i="16"/>
  <c r="BH20" i="16"/>
  <c r="AX21" i="16"/>
  <c r="AY3" i="16"/>
  <c r="AX17" i="16"/>
  <c r="AX19" i="16"/>
  <c r="BC19" i="16"/>
  <c r="BD19" i="16" s="1"/>
  <c r="BL20" i="16"/>
  <c r="BL21" i="16"/>
  <c r="BG21" i="16"/>
  <c r="BH21" i="16" s="1"/>
  <c r="BG17" i="16"/>
  <c r="BH17" i="16" s="1"/>
  <c r="BL17" i="16" s="1"/>
  <c r="BG13" i="16"/>
  <c r="BH13" i="16" s="1"/>
  <c r="BL13" i="16" s="1"/>
  <c r="BG9" i="16"/>
  <c r="BH9" i="16" s="1"/>
  <c r="BL9" i="16" s="1"/>
  <c r="BA3" i="16"/>
  <c r="BG20" i="16"/>
  <c r="BG16" i="16"/>
  <c r="BG12" i="16"/>
  <c r="BH12" i="16" s="1"/>
  <c r="BL12" i="16" s="1"/>
  <c r="AZ3" i="16"/>
  <c r="BD1" i="16"/>
  <c r="BG19" i="16"/>
  <c r="BH19" i="16" s="1"/>
  <c r="BG15" i="16"/>
  <c r="BH15" i="16" s="1"/>
  <c r="BL15" i="16" s="1"/>
  <c r="BG11" i="16"/>
  <c r="BC3" i="16"/>
  <c r="BH11" i="16"/>
  <c r="BL11" i="16" s="1"/>
  <c r="BG14" i="16"/>
  <c r="BH14" i="16" s="1"/>
  <c r="BL14" i="16" s="1"/>
  <c r="AX3" i="16"/>
  <c r="BH16" i="16"/>
  <c r="BL16" i="16" s="1"/>
  <c r="BB3" i="16"/>
  <c r="AX13" i="16"/>
  <c r="AX15" i="16"/>
  <c r="BG18" i="16"/>
  <c r="BH18" i="16" s="1"/>
  <c r="BL18" i="16" s="1"/>
  <c r="BL12" i="15"/>
  <c r="N8" i="15"/>
  <c r="BL20" i="15"/>
  <c r="BG9" i="15"/>
  <c r="BH9" i="15" s="1"/>
  <c r="BL9" i="15" s="1"/>
  <c r="BG13" i="15"/>
  <c r="BH13" i="15" s="1"/>
  <c r="BL13" i="15" s="1"/>
  <c r="BG17" i="15"/>
  <c r="BH17" i="15" s="1"/>
  <c r="BL17" i="15" s="1"/>
  <c r="BG21" i="15"/>
  <c r="BH21" i="15" s="1"/>
  <c r="BL21" i="15" s="1"/>
  <c r="AX3" i="15"/>
  <c r="BB3" i="15"/>
  <c r="P5" i="15"/>
  <c r="BG10" i="15"/>
  <c r="BH10" i="15" s="1"/>
  <c r="BL10" i="15" s="1"/>
  <c r="BG14" i="15"/>
  <c r="BH14" i="15" s="1"/>
  <c r="BL14" i="15" s="1"/>
  <c r="BG18" i="15"/>
  <c r="BH18" i="15" s="1"/>
  <c r="BL18" i="15" s="1"/>
  <c r="BG19" i="15"/>
  <c r="BH19" i="15" s="1"/>
  <c r="BL19" i="15" s="1"/>
  <c r="AY3" i="15"/>
  <c r="BC3" i="15"/>
  <c r="BG11" i="15"/>
  <c r="BH11" i="15" s="1"/>
  <c r="BL11" i="15" s="1"/>
  <c r="BG15" i="15"/>
  <c r="BH15" i="15" s="1"/>
  <c r="BL15" i="15" s="1"/>
  <c r="BD1" i="15"/>
  <c r="AZ3" i="15"/>
  <c r="BG12" i="15"/>
  <c r="BH12" i="15" s="1"/>
  <c r="BG16" i="15"/>
  <c r="BH16" i="15" s="1"/>
  <c r="BL16" i="15" s="1"/>
  <c r="BG16" i="12"/>
  <c r="BH16" i="12" s="1"/>
  <c r="BG14" i="12"/>
  <c r="BH14" i="12" s="1"/>
  <c r="BG20" i="12"/>
  <c r="BG17" i="12"/>
  <c r="BH17" i="12" s="1"/>
  <c r="BG10" i="12"/>
  <c r="BH10" i="12" s="1"/>
  <c r="BL10" i="12" s="1"/>
  <c r="BG19" i="12"/>
  <c r="BH19" i="12" s="1"/>
  <c r="BG13" i="12"/>
  <c r="BH13" i="12" s="1"/>
  <c r="BL13" i="12" s="1"/>
  <c r="BG21" i="12"/>
  <c r="BH21" i="12" s="1"/>
  <c r="BL21" i="12" s="1"/>
  <c r="BG18" i="12"/>
  <c r="BH18" i="12" s="1"/>
  <c r="BG15" i="12"/>
  <c r="AX9" i="12"/>
  <c r="BG9" i="12"/>
  <c r="BH9" i="12" s="1"/>
  <c r="BL9" i="12" s="1"/>
  <c r="BC20" i="12"/>
  <c r="BD20" i="12" s="1"/>
  <c r="BC18" i="12"/>
  <c r="BD18" i="12" s="1"/>
  <c r="BC14" i="12"/>
  <c r="BD14" i="12" s="1"/>
  <c r="BC10" i="12"/>
  <c r="BD10" i="12" s="1"/>
  <c r="BH12" i="12"/>
  <c r="BC21" i="12"/>
  <c r="BD21" i="12" s="1"/>
  <c r="BC17" i="12"/>
  <c r="BD17" i="12" s="1"/>
  <c r="BC15" i="12"/>
  <c r="BD15" i="12" s="1"/>
  <c r="BH20" i="12"/>
  <c r="BC19" i="12"/>
  <c r="BD19" i="12" s="1"/>
  <c r="BC12" i="12"/>
  <c r="BD12" i="12" s="1"/>
  <c r="BL12" i="12" s="1"/>
  <c r="BC16" i="12"/>
  <c r="BD16" i="12" s="1"/>
  <c r="BH15" i="12"/>
  <c r="BC11" i="12"/>
  <c r="BD11" i="12" s="1"/>
  <c r="BH11" i="12"/>
  <c r="BL11" i="12" s="1"/>
  <c r="M8" i="12"/>
  <c r="M7" i="12" s="1"/>
  <c r="N7" i="16" l="1"/>
  <c r="M7" i="16"/>
  <c r="O8" i="25"/>
  <c r="N7" i="25"/>
  <c r="P8" i="24"/>
  <c r="O7" i="24"/>
  <c r="P8" i="23"/>
  <c r="O7" i="23"/>
  <c r="P8" i="22"/>
  <c r="O7" i="22"/>
  <c r="P8" i="21"/>
  <c r="O7" i="21"/>
  <c r="P8" i="20"/>
  <c r="O7" i="20"/>
  <c r="P8" i="19"/>
  <c r="O7" i="19"/>
  <c r="P8" i="18"/>
  <c r="O7" i="18"/>
  <c r="P8" i="17"/>
  <c r="O7" i="17"/>
  <c r="BD3" i="16"/>
  <c r="BL19" i="16"/>
  <c r="P8" i="16"/>
  <c r="O7" i="16"/>
  <c r="O8" i="15"/>
  <c r="N7" i="15"/>
  <c r="BD3" i="15"/>
  <c r="BL17" i="12"/>
  <c r="BL14" i="12"/>
  <c r="BL19" i="12"/>
  <c r="BL18" i="12"/>
  <c r="BL20" i="12"/>
  <c r="BL16" i="12"/>
  <c r="BL15" i="12"/>
  <c r="BD1" i="12"/>
  <c r="BB3" i="12"/>
  <c r="BF2" i="12"/>
  <c r="AY3" i="12"/>
  <c r="AZ3" i="12"/>
  <c r="BA3" i="12"/>
  <c r="AX3" i="12"/>
  <c r="P8" i="25" l="1"/>
  <c r="O7" i="25"/>
  <c r="Q8" i="24"/>
  <c r="P7" i="24"/>
  <c r="Q8" i="23"/>
  <c r="P7" i="23"/>
  <c r="Q8" i="22"/>
  <c r="P7" i="22"/>
  <c r="Q8" i="21"/>
  <c r="P7" i="21"/>
  <c r="Q8" i="20"/>
  <c r="P7" i="20"/>
  <c r="Q8" i="19"/>
  <c r="P7" i="19"/>
  <c r="P7" i="18"/>
  <c r="Q8" i="18"/>
  <c r="Q8" i="17"/>
  <c r="P7" i="17"/>
  <c r="Q8" i="16"/>
  <c r="P7" i="16"/>
  <c r="P8" i="15"/>
  <c r="O7" i="15"/>
  <c r="AS9" i="12"/>
  <c r="BC3" i="12" s="1"/>
  <c r="BD3" i="12" s="1"/>
  <c r="Q8" i="25" l="1"/>
  <c r="P7" i="25"/>
  <c r="R8" i="24"/>
  <c r="Q7" i="24"/>
  <c r="R8" i="23"/>
  <c r="Q7" i="23"/>
  <c r="R8" i="22"/>
  <c r="Q7" i="22"/>
  <c r="R8" i="21"/>
  <c r="Q7" i="21"/>
  <c r="R8" i="20"/>
  <c r="Q7" i="20"/>
  <c r="R8" i="19"/>
  <c r="Q7" i="19"/>
  <c r="R8" i="18"/>
  <c r="Q7" i="18"/>
  <c r="Q7" i="17"/>
  <c r="R8" i="17"/>
  <c r="R8" i="16"/>
  <c r="Q7" i="16"/>
  <c r="Q8" i="15"/>
  <c r="P7" i="15"/>
  <c r="N8" i="12"/>
  <c r="O8" i="12" s="1"/>
  <c r="O7" i="12" s="1"/>
  <c r="R8" i="25" l="1"/>
  <c r="Q7" i="25"/>
  <c r="S8" i="24"/>
  <c r="R7" i="24"/>
  <c r="S8" i="23"/>
  <c r="R7" i="23"/>
  <c r="S8" i="22"/>
  <c r="R7" i="22"/>
  <c r="S8" i="21"/>
  <c r="R7" i="21"/>
  <c r="S8" i="20"/>
  <c r="R7" i="20"/>
  <c r="S8" i="19"/>
  <c r="R7" i="19"/>
  <c r="S8" i="18"/>
  <c r="R7" i="18"/>
  <c r="S8" i="17"/>
  <c r="R7" i="17"/>
  <c r="S8" i="16"/>
  <c r="R7" i="16"/>
  <c r="R8" i="15"/>
  <c r="Q7" i="15"/>
  <c r="N7" i="12"/>
  <c r="P8" i="12"/>
  <c r="P7" i="12" s="1"/>
  <c r="S8" i="25" l="1"/>
  <c r="R7" i="25"/>
  <c r="T8" i="24"/>
  <c r="S7" i="24"/>
  <c r="T8" i="23"/>
  <c r="S7" i="23"/>
  <c r="T8" i="22"/>
  <c r="S7" i="22"/>
  <c r="T8" i="21"/>
  <c r="S7" i="21"/>
  <c r="T8" i="20"/>
  <c r="S7" i="20"/>
  <c r="T8" i="19"/>
  <c r="S7" i="19"/>
  <c r="T8" i="18"/>
  <c r="S7" i="18"/>
  <c r="T8" i="17"/>
  <c r="S7" i="17"/>
  <c r="T8" i="16"/>
  <c r="S7" i="16"/>
  <c r="S8" i="15"/>
  <c r="R7" i="15"/>
  <c r="Q8" i="12"/>
  <c r="T8" i="25" l="1"/>
  <c r="S7" i="25"/>
  <c r="U8" i="24"/>
  <c r="T7" i="24"/>
  <c r="U8" i="23"/>
  <c r="T7" i="23"/>
  <c r="U8" i="22"/>
  <c r="T7" i="22"/>
  <c r="U8" i="21"/>
  <c r="T7" i="21"/>
  <c r="T7" i="20"/>
  <c r="U8" i="20"/>
  <c r="T7" i="19"/>
  <c r="U8" i="19"/>
  <c r="U8" i="18"/>
  <c r="T7" i="18"/>
  <c r="T7" i="17"/>
  <c r="U8" i="17"/>
  <c r="U8" i="16"/>
  <c r="T7" i="16"/>
  <c r="T8" i="15"/>
  <c r="S7" i="15"/>
  <c r="R8" i="12"/>
  <c r="Q7" i="12"/>
  <c r="U8" i="25" l="1"/>
  <c r="T7" i="25"/>
  <c r="V8" i="24"/>
  <c r="U7" i="24"/>
  <c r="V8" i="23"/>
  <c r="U7" i="23"/>
  <c r="V8" i="22"/>
  <c r="U7" i="22"/>
  <c r="V8" i="21"/>
  <c r="U7" i="21"/>
  <c r="V8" i="20"/>
  <c r="U7" i="20"/>
  <c r="V8" i="19"/>
  <c r="U7" i="19"/>
  <c r="V8" i="18"/>
  <c r="U7" i="18"/>
  <c r="V8" i="17"/>
  <c r="U7" i="17"/>
  <c r="V8" i="16"/>
  <c r="U7" i="16"/>
  <c r="U8" i="15"/>
  <c r="T7" i="15"/>
  <c r="S8" i="12"/>
  <c r="R7" i="12"/>
  <c r="V8" i="25" l="1"/>
  <c r="U7" i="25"/>
  <c r="W8" i="24"/>
  <c r="V7" i="24"/>
  <c r="W8" i="23"/>
  <c r="V7" i="23"/>
  <c r="W8" i="22"/>
  <c r="V7" i="22"/>
  <c r="W8" i="21"/>
  <c r="V7" i="21"/>
  <c r="W8" i="20"/>
  <c r="V7" i="20"/>
  <c r="W8" i="19"/>
  <c r="V7" i="19"/>
  <c r="W8" i="18"/>
  <c r="V7" i="18"/>
  <c r="W8" i="17"/>
  <c r="V7" i="17"/>
  <c r="W8" i="16"/>
  <c r="V7" i="16"/>
  <c r="V8" i="15"/>
  <c r="U7" i="15"/>
  <c r="T8" i="12"/>
  <c r="S7" i="12"/>
  <c r="W8" i="25" l="1"/>
  <c r="V7" i="25"/>
  <c r="X8" i="24"/>
  <c r="W7" i="24"/>
  <c r="X8" i="23"/>
  <c r="W7" i="23"/>
  <c r="X8" i="22"/>
  <c r="W7" i="22"/>
  <c r="X8" i="21"/>
  <c r="W7" i="21"/>
  <c r="X8" i="20"/>
  <c r="W7" i="20"/>
  <c r="X8" i="19"/>
  <c r="W7" i="19"/>
  <c r="X8" i="18"/>
  <c r="W7" i="18"/>
  <c r="X8" i="17"/>
  <c r="W7" i="17"/>
  <c r="X8" i="16"/>
  <c r="W7" i="16"/>
  <c r="W8" i="15"/>
  <c r="V7" i="15"/>
  <c r="U8" i="12"/>
  <c r="T7" i="12"/>
  <c r="X8" i="25" l="1"/>
  <c r="W7" i="25"/>
  <c r="Y8" i="24"/>
  <c r="X7" i="24"/>
  <c r="X7" i="23"/>
  <c r="Y8" i="23"/>
  <c r="X7" i="22"/>
  <c r="Y8" i="22"/>
  <c r="Y8" i="21"/>
  <c r="X7" i="21"/>
  <c r="Y8" i="20"/>
  <c r="X7" i="20"/>
  <c r="Y8" i="19"/>
  <c r="X7" i="19"/>
  <c r="X7" i="18"/>
  <c r="Y8" i="18"/>
  <c r="Y8" i="17"/>
  <c r="X7" i="17"/>
  <c r="Y8" i="16"/>
  <c r="X7" i="16"/>
  <c r="X8" i="15"/>
  <c r="W7" i="15"/>
  <c r="V8" i="12"/>
  <c r="U7" i="12"/>
  <c r="Y8" i="25" l="1"/>
  <c r="X7" i="25"/>
  <c r="Z8" i="24"/>
  <c r="Y7" i="24"/>
  <c r="Z8" i="23"/>
  <c r="Y7" i="23"/>
  <c r="Z8" i="22"/>
  <c r="Y7" i="22"/>
  <c r="Z8" i="21"/>
  <c r="Y7" i="21"/>
  <c r="Z8" i="20"/>
  <c r="Y7" i="20"/>
  <c r="Z8" i="19"/>
  <c r="Y7" i="19"/>
  <c r="Z8" i="18"/>
  <c r="Y7" i="18"/>
  <c r="Z8" i="17"/>
  <c r="Y7" i="17"/>
  <c r="Z8" i="16"/>
  <c r="Y7" i="16"/>
  <c r="Y8" i="15"/>
  <c r="X7" i="15"/>
  <c r="W8" i="12"/>
  <c r="V7" i="12"/>
  <c r="Y7" i="25" l="1"/>
  <c r="Z8" i="25"/>
  <c r="AA8" i="24"/>
  <c r="Z7" i="24"/>
  <c r="AA8" i="23"/>
  <c r="Z7" i="23"/>
  <c r="AA8" i="22"/>
  <c r="Z7" i="22"/>
  <c r="AA8" i="21"/>
  <c r="Z7" i="21"/>
  <c r="AA8" i="20"/>
  <c r="Z7" i="20"/>
  <c r="AA8" i="19"/>
  <c r="Z7" i="19"/>
  <c r="AA8" i="18"/>
  <c r="Z7" i="18"/>
  <c r="AA8" i="17"/>
  <c r="Z7" i="17"/>
  <c r="AA8" i="16"/>
  <c r="Z7" i="16"/>
  <c r="Z8" i="15"/>
  <c r="Y7" i="15"/>
  <c r="X8" i="12"/>
  <c r="W7" i="12"/>
  <c r="AA8" i="25" l="1"/>
  <c r="Z7" i="25"/>
  <c r="AB8" i="24"/>
  <c r="AA7" i="24"/>
  <c r="AB8" i="23"/>
  <c r="AA7" i="23"/>
  <c r="AB8" i="22"/>
  <c r="AA7" i="22"/>
  <c r="AB8" i="21"/>
  <c r="AA7" i="21"/>
  <c r="AB8" i="20"/>
  <c r="AA7" i="20"/>
  <c r="AB8" i="19"/>
  <c r="AA7" i="19"/>
  <c r="AB8" i="18"/>
  <c r="AA7" i="18"/>
  <c r="AB8" i="17"/>
  <c r="AA7" i="17"/>
  <c r="AB8" i="16"/>
  <c r="AA7" i="16"/>
  <c r="AA8" i="15"/>
  <c r="Z7" i="15"/>
  <c r="Y8" i="12"/>
  <c r="X7" i="12"/>
  <c r="AB8" i="25" l="1"/>
  <c r="AA7" i="25"/>
  <c r="AC8" i="24"/>
  <c r="AB7" i="24"/>
  <c r="AC8" i="23"/>
  <c r="AB7" i="23"/>
  <c r="AC8" i="22"/>
  <c r="AB7" i="22"/>
  <c r="AC8" i="21"/>
  <c r="AB7" i="21"/>
  <c r="AC8" i="20"/>
  <c r="AB7" i="20"/>
  <c r="AC8" i="19"/>
  <c r="AB7" i="19"/>
  <c r="AC8" i="18"/>
  <c r="AB7" i="18"/>
  <c r="AC8" i="17"/>
  <c r="AB7" i="17"/>
  <c r="AC8" i="16"/>
  <c r="AB7" i="16"/>
  <c r="AB8" i="15"/>
  <c r="AA7" i="15"/>
  <c r="Z8" i="12"/>
  <c r="Y7" i="12"/>
  <c r="AC8" i="25" l="1"/>
  <c r="AB7" i="25"/>
  <c r="AD8" i="24"/>
  <c r="AC7" i="24"/>
  <c r="AD8" i="23"/>
  <c r="AC7" i="23"/>
  <c r="AD8" i="22"/>
  <c r="AC7" i="22"/>
  <c r="AD8" i="21"/>
  <c r="AC7" i="21"/>
  <c r="AD8" i="20"/>
  <c r="AC7" i="20"/>
  <c r="AD8" i="19"/>
  <c r="AC7" i="19"/>
  <c r="AD8" i="18"/>
  <c r="AC7" i="18"/>
  <c r="AD8" i="17"/>
  <c r="AC7" i="17"/>
  <c r="AD8" i="16"/>
  <c r="AC7" i="16"/>
  <c r="AC8" i="15"/>
  <c r="AB7" i="15"/>
  <c r="AA8" i="12"/>
  <c r="Z7" i="12"/>
  <c r="AD8" i="25" l="1"/>
  <c r="AC7" i="25"/>
  <c r="AE8" i="24"/>
  <c r="AD7" i="24"/>
  <c r="AE8" i="23"/>
  <c r="AD7" i="23"/>
  <c r="AE8" i="22"/>
  <c r="AD7" i="22"/>
  <c r="AE8" i="21"/>
  <c r="AD7" i="21"/>
  <c r="AE8" i="20"/>
  <c r="AD7" i="20"/>
  <c r="AE8" i="19"/>
  <c r="AD7" i="19"/>
  <c r="AE8" i="18"/>
  <c r="AD7" i="18"/>
  <c r="AE8" i="17"/>
  <c r="AD7" i="17"/>
  <c r="AE8" i="16"/>
  <c r="AD7" i="16"/>
  <c r="AD8" i="15"/>
  <c r="AC7" i="15"/>
  <c r="AB8" i="12"/>
  <c r="AA7" i="12"/>
  <c r="AE8" i="25" l="1"/>
  <c r="AD7" i="25"/>
  <c r="AF8" i="24"/>
  <c r="AE7" i="24"/>
  <c r="AF8" i="23"/>
  <c r="AE7" i="23"/>
  <c r="AF8" i="22"/>
  <c r="AE7" i="22"/>
  <c r="AF8" i="21"/>
  <c r="AE7" i="21"/>
  <c r="AF8" i="20"/>
  <c r="AE7" i="20"/>
  <c r="AF8" i="19"/>
  <c r="AE7" i="19"/>
  <c r="AF8" i="18"/>
  <c r="AE7" i="18"/>
  <c r="AF8" i="17"/>
  <c r="AE7" i="17"/>
  <c r="AF8" i="16"/>
  <c r="AE7" i="16"/>
  <c r="AE8" i="15"/>
  <c r="AD7" i="15"/>
  <c r="AC8" i="12"/>
  <c r="AB7" i="12"/>
  <c r="AF8" i="25" l="1"/>
  <c r="AE7" i="25"/>
  <c r="AG8" i="24"/>
  <c r="AF7" i="24"/>
  <c r="AG8" i="23"/>
  <c r="AF7" i="23"/>
  <c r="AF7" i="22"/>
  <c r="AG8" i="22"/>
  <c r="AF7" i="21"/>
  <c r="AG8" i="21"/>
  <c r="AG8" i="20"/>
  <c r="AF7" i="20"/>
  <c r="AG8" i="19"/>
  <c r="AF7" i="19"/>
  <c r="AF7" i="18"/>
  <c r="AG8" i="18"/>
  <c r="AG8" i="17"/>
  <c r="AF7" i="17"/>
  <c r="AG8" i="16"/>
  <c r="AF7" i="16"/>
  <c r="AF8" i="15"/>
  <c r="AE7" i="15"/>
  <c r="AD8" i="12"/>
  <c r="AC7" i="12"/>
  <c r="AG8" i="25" l="1"/>
  <c r="AF7" i="25"/>
  <c r="AH8" i="24"/>
  <c r="AG7" i="24"/>
  <c r="AH8" i="23"/>
  <c r="AG7" i="23"/>
  <c r="AH8" i="22"/>
  <c r="AG7" i="22"/>
  <c r="AH8" i="21"/>
  <c r="AG7" i="21"/>
  <c r="AH8" i="20"/>
  <c r="AG7" i="20"/>
  <c r="AH8" i="19"/>
  <c r="AG7" i="19"/>
  <c r="AH8" i="18"/>
  <c r="AG7" i="18"/>
  <c r="AH8" i="17"/>
  <c r="AG7" i="17"/>
  <c r="AH8" i="16"/>
  <c r="AG7" i="16"/>
  <c r="AG8" i="15"/>
  <c r="AF7" i="15"/>
  <c r="AE8" i="12"/>
  <c r="AD7" i="12"/>
  <c r="AH8" i="25" l="1"/>
  <c r="AG7" i="25"/>
  <c r="AI8" i="24"/>
  <c r="AH7" i="24"/>
  <c r="AI8" i="23"/>
  <c r="AH7" i="23"/>
  <c r="AI8" i="22"/>
  <c r="AH7" i="22"/>
  <c r="AI8" i="21"/>
  <c r="AH7" i="21"/>
  <c r="AI8" i="20"/>
  <c r="AH7" i="20"/>
  <c r="AI8" i="19"/>
  <c r="AH7" i="19"/>
  <c r="AI8" i="18"/>
  <c r="AH7" i="18"/>
  <c r="AI8" i="17"/>
  <c r="AH7" i="17"/>
  <c r="AI8" i="16"/>
  <c r="AH7" i="16"/>
  <c r="AH8" i="15"/>
  <c r="AG7" i="15"/>
  <c r="AF8" i="12"/>
  <c r="AE7" i="12"/>
  <c r="AI8" i="25" l="1"/>
  <c r="AH7" i="25"/>
  <c r="AJ8" i="24"/>
  <c r="AI7" i="24"/>
  <c r="AJ8" i="23"/>
  <c r="AI7" i="23"/>
  <c r="AJ8" i="22"/>
  <c r="AI7" i="22"/>
  <c r="AJ8" i="21"/>
  <c r="AI7" i="21"/>
  <c r="AJ8" i="20"/>
  <c r="AI7" i="20"/>
  <c r="AJ8" i="19"/>
  <c r="AI7" i="19"/>
  <c r="AJ8" i="18"/>
  <c r="AI7" i="18"/>
  <c r="AJ8" i="17"/>
  <c r="AI7" i="17"/>
  <c r="AJ8" i="16"/>
  <c r="AI7" i="16"/>
  <c r="AI8" i="15"/>
  <c r="AH7" i="15"/>
  <c r="AG8" i="12"/>
  <c r="AF7" i="12"/>
  <c r="AJ8" i="25" l="1"/>
  <c r="AI7" i="25"/>
  <c r="AJ7" i="24"/>
  <c r="AK8" i="24"/>
  <c r="AJ7" i="23"/>
  <c r="AK8" i="23"/>
  <c r="AK8" i="22"/>
  <c r="AJ7" i="22"/>
  <c r="AK8" i="21"/>
  <c r="AJ7" i="21"/>
  <c r="AK8" i="20"/>
  <c r="AJ7" i="20"/>
  <c r="AK8" i="19"/>
  <c r="AJ7" i="19"/>
  <c r="AK8" i="18"/>
  <c r="AJ7" i="18"/>
  <c r="AK8" i="17"/>
  <c r="AJ7" i="17"/>
  <c r="AJ7" i="16"/>
  <c r="AK8" i="16"/>
  <c r="AJ8" i="15"/>
  <c r="AI7" i="15"/>
  <c r="AH8" i="12"/>
  <c r="AG7" i="12"/>
  <c r="AK8" i="25" l="1"/>
  <c r="AJ7" i="25"/>
  <c r="AL8" i="24"/>
  <c r="AK7" i="24"/>
  <c r="AL8" i="23"/>
  <c r="AK7" i="23"/>
  <c r="AL8" i="22"/>
  <c r="AK7" i="22"/>
  <c r="AL8" i="21"/>
  <c r="AK7" i="21"/>
  <c r="AL8" i="20"/>
  <c r="AK7" i="20"/>
  <c r="AL8" i="19"/>
  <c r="AK7" i="19"/>
  <c r="AL8" i="18"/>
  <c r="AK7" i="18"/>
  <c r="AK7" i="17"/>
  <c r="AL8" i="17"/>
  <c r="AL8" i="16"/>
  <c r="AK7" i="16"/>
  <c r="AK8" i="15"/>
  <c r="AJ7" i="15"/>
  <c r="AI8" i="12"/>
  <c r="AH7" i="12"/>
  <c r="AL8" i="25" l="1"/>
  <c r="AK7" i="25"/>
  <c r="AM8" i="24"/>
  <c r="AL7" i="24"/>
  <c r="AM8" i="23"/>
  <c r="AL7" i="23"/>
  <c r="AM8" i="22"/>
  <c r="AL7" i="22"/>
  <c r="AM8" i="21"/>
  <c r="AL7" i="21"/>
  <c r="AM8" i="20"/>
  <c r="AL7" i="20"/>
  <c r="AM8" i="19"/>
  <c r="AL7" i="19"/>
  <c r="AM8" i="18"/>
  <c r="AL7" i="18"/>
  <c r="AM8" i="17"/>
  <c r="AL7" i="17"/>
  <c r="AM8" i="16"/>
  <c r="AL7" i="16"/>
  <c r="AL8" i="15"/>
  <c r="AK7" i="15"/>
  <c r="AJ8" i="12"/>
  <c r="AI7" i="12"/>
  <c r="AM8" i="25" l="1"/>
  <c r="AL7" i="25"/>
  <c r="AN8" i="24"/>
  <c r="AM7" i="24"/>
  <c r="AN8" i="23"/>
  <c r="AM7" i="23"/>
  <c r="AN8" i="22"/>
  <c r="AM7" i="22"/>
  <c r="AN8" i="21"/>
  <c r="AM7" i="21"/>
  <c r="AN8" i="20"/>
  <c r="AM7" i="20"/>
  <c r="AN8" i="19"/>
  <c r="AM7" i="19"/>
  <c r="AN8" i="18"/>
  <c r="AM7" i="18"/>
  <c r="AN8" i="17"/>
  <c r="AM7" i="17"/>
  <c r="AN8" i="16"/>
  <c r="AM7" i="16"/>
  <c r="AM8" i="15"/>
  <c r="AL7" i="15"/>
  <c r="AK8" i="12"/>
  <c r="AJ7" i="12"/>
  <c r="AN8" i="25" l="1"/>
  <c r="AM7" i="25"/>
  <c r="AO8" i="24"/>
  <c r="AN7" i="24"/>
  <c r="AO8" i="23"/>
  <c r="AN7" i="23"/>
  <c r="AN7" i="22"/>
  <c r="AO8" i="22"/>
  <c r="AO8" i="21"/>
  <c r="AN7" i="21"/>
  <c r="AO8" i="20"/>
  <c r="AN7" i="20"/>
  <c r="AO8" i="19"/>
  <c r="AN7" i="19"/>
  <c r="AO8" i="18"/>
  <c r="AN7" i="18"/>
  <c r="AO8" i="17"/>
  <c r="AN7" i="17"/>
  <c r="AO8" i="16"/>
  <c r="AN7" i="16"/>
  <c r="AN8" i="15"/>
  <c r="AM7" i="15"/>
  <c r="AL8" i="12"/>
  <c r="AM8" i="12" s="1"/>
  <c r="AN8" i="12" s="1"/>
  <c r="AO8" i="12" s="1"/>
  <c r="AK7" i="12"/>
  <c r="AN7" i="25" l="1"/>
  <c r="AO8" i="25"/>
  <c r="AP8" i="24"/>
  <c r="AO7" i="24"/>
  <c r="AP8" i="23"/>
  <c r="AO7" i="23"/>
  <c r="AP8" i="22"/>
  <c r="AO7" i="22"/>
  <c r="AP8" i="21"/>
  <c r="AO7" i="21"/>
  <c r="AP8" i="20"/>
  <c r="AO7" i="20"/>
  <c r="AP8" i="19"/>
  <c r="AO7" i="19"/>
  <c r="AP8" i="18"/>
  <c r="AO7" i="18"/>
  <c r="AP8" i="17"/>
  <c r="AO7" i="17"/>
  <c r="AP8" i="16"/>
  <c r="AO7" i="16"/>
  <c r="AO8" i="15"/>
  <c r="AN7" i="15"/>
  <c r="AL7" i="12"/>
  <c r="AP8" i="25" l="1"/>
  <c r="AO7" i="25"/>
  <c r="AQ8" i="24"/>
  <c r="AQ7" i="24" s="1"/>
  <c r="AP7" i="24"/>
  <c r="AQ8" i="23"/>
  <c r="AQ7" i="23" s="1"/>
  <c r="AP7" i="23"/>
  <c r="AQ8" i="22"/>
  <c r="AQ7" i="22" s="1"/>
  <c r="AP7" i="22"/>
  <c r="AQ8" i="21"/>
  <c r="AQ7" i="21" s="1"/>
  <c r="AP7" i="21"/>
  <c r="AQ8" i="20"/>
  <c r="AQ7" i="20" s="1"/>
  <c r="AP7" i="20"/>
  <c r="AQ8" i="19"/>
  <c r="AQ7" i="19" s="1"/>
  <c r="AP7" i="19"/>
  <c r="AQ8" i="18"/>
  <c r="AQ7" i="18" s="1"/>
  <c r="AP7" i="18"/>
  <c r="AQ8" i="17"/>
  <c r="AQ7" i="17" s="1"/>
  <c r="AP7" i="17"/>
  <c r="AQ8" i="16"/>
  <c r="AQ7" i="16" s="1"/>
  <c r="AP7" i="16"/>
  <c r="AP8" i="15"/>
  <c r="AO7" i="15"/>
  <c r="AM7" i="12"/>
  <c r="AQ8" i="25" l="1"/>
  <c r="AQ7" i="25" s="1"/>
  <c r="AP7" i="25"/>
  <c r="AQ8" i="15"/>
  <c r="AQ7" i="15" s="1"/>
  <c r="AP7" i="15"/>
  <c r="AP8" i="12"/>
  <c r="AN7" i="12"/>
  <c r="AQ8" i="12" l="1"/>
  <c r="AQ7" i="12" s="1"/>
  <c r="AO7" i="12"/>
  <c r="AP7" i="12" l="1"/>
</calcChain>
</file>

<file path=xl/comments1.xml><?xml version="1.0" encoding="utf-8"?>
<comments xmlns="http://schemas.openxmlformats.org/spreadsheetml/2006/main">
  <authors>
    <author>Rsatish</author>
  </authors>
  <commentList>
    <comment ref="L9" authorId="0" shapeId="0">
      <text>
        <r>
          <rPr>
            <b/>
            <sz val="9"/>
            <color indexed="81"/>
            <rFont val="Tahoma"/>
            <family val="2"/>
          </rPr>
          <t>Rsatish: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Rsatish</author>
  </authors>
  <commentList>
    <comment ref="L9" authorId="0" shapeId="0">
      <text>
        <r>
          <rPr>
            <b/>
            <sz val="9"/>
            <color indexed="81"/>
            <rFont val="Tahoma"/>
            <family val="2"/>
          </rPr>
          <t>Rsatish: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Rsatish</author>
  </authors>
  <commentList>
    <comment ref="L9" authorId="0" shapeId="0">
      <text>
        <r>
          <rPr>
            <b/>
            <sz val="9"/>
            <color indexed="81"/>
            <rFont val="Tahoma"/>
            <family val="2"/>
          </rPr>
          <t>Rsatish: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Rsatish</author>
  </authors>
  <commentList>
    <comment ref="L9" authorId="0" shapeId="0">
      <text>
        <r>
          <rPr>
            <b/>
            <sz val="9"/>
            <color indexed="81"/>
            <rFont val="Tahoma"/>
            <family val="2"/>
          </rPr>
          <t>Rsatish: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Rsatish</author>
  </authors>
  <commentList>
    <comment ref="L9" authorId="0" shapeId="0">
      <text>
        <r>
          <rPr>
            <b/>
            <sz val="9"/>
            <color indexed="81"/>
            <rFont val="Tahoma"/>
            <family val="2"/>
          </rPr>
          <t>Rsatish: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Rsatish</author>
  </authors>
  <commentList>
    <comment ref="L9" authorId="0" shapeId="0">
      <text>
        <r>
          <rPr>
            <b/>
            <sz val="9"/>
            <color indexed="81"/>
            <rFont val="Tahoma"/>
            <family val="2"/>
          </rPr>
          <t>Rsatish: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Rsatish</author>
  </authors>
  <commentList>
    <comment ref="L9" authorId="0" shapeId="0">
      <text>
        <r>
          <rPr>
            <b/>
            <sz val="9"/>
            <color indexed="81"/>
            <rFont val="Tahoma"/>
            <family val="2"/>
          </rPr>
          <t>Rsatish: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Rsatish</author>
  </authors>
  <commentList>
    <comment ref="L9" authorId="0" shapeId="0">
      <text>
        <r>
          <rPr>
            <b/>
            <sz val="9"/>
            <color indexed="81"/>
            <rFont val="Tahoma"/>
            <family val="2"/>
          </rPr>
          <t>Rsatish: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Rsatish</author>
  </authors>
  <commentList>
    <comment ref="L9" authorId="0" shapeId="0">
      <text>
        <r>
          <rPr>
            <b/>
            <sz val="9"/>
            <color indexed="81"/>
            <rFont val="Tahoma"/>
            <family val="2"/>
          </rPr>
          <t>Rsatish: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Rsatish</author>
  </authors>
  <commentList>
    <comment ref="L9" authorId="0" shapeId="0">
      <text>
        <r>
          <rPr>
            <b/>
            <sz val="9"/>
            <color indexed="81"/>
            <rFont val="Tahoma"/>
            <family val="2"/>
          </rPr>
          <t>Rsatish: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Rsatish</author>
  </authors>
  <commentList>
    <comment ref="L9" authorId="0" shapeId="0">
      <text>
        <r>
          <rPr>
            <b/>
            <sz val="9"/>
            <color indexed="81"/>
            <rFont val="Tahoma"/>
            <family val="2"/>
          </rPr>
          <t>Rsatish: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Rsatish</author>
  </authors>
  <commentList>
    <comment ref="L9" authorId="0" shapeId="0">
      <text>
        <r>
          <rPr>
            <b/>
            <sz val="9"/>
            <color indexed="81"/>
            <rFont val="Tahoma"/>
            <family val="2"/>
          </rPr>
          <t>Rsatish: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<sst xmlns="http://schemas.openxmlformats.org/spreadsheetml/2006/main" count="689" uniqueCount="97">
  <si>
    <t>Start Date</t>
  </si>
  <si>
    <t>End 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</si>
  <si>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</si>
  <si>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</si>
  <si>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</si>
  <si>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</si>
  <si>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</si>
  <si>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</si>
  <si>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</si>
  <si>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</si>
  <si>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</si>
  <si>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</si>
  <si>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</si>
  <si>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</si>
  <si>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</si>
  <si>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Year</t>
  </si>
  <si>
    <t>Emp_Code</t>
  </si>
  <si>
    <t>Emp_Name</t>
  </si>
  <si>
    <t>In time</t>
  </si>
  <si>
    <t>Satish</t>
  </si>
  <si>
    <t>Photo</t>
  </si>
  <si>
    <t>P</t>
  </si>
  <si>
    <t>A</t>
  </si>
  <si>
    <t>L</t>
  </si>
  <si>
    <t>H</t>
  </si>
  <si>
    <t>Present</t>
  </si>
  <si>
    <t>vinay</t>
  </si>
  <si>
    <t>Mayank</t>
  </si>
  <si>
    <t>Vivek</t>
  </si>
  <si>
    <t>Sumit</t>
  </si>
  <si>
    <t>Amit</t>
  </si>
  <si>
    <t>Naveen</t>
  </si>
  <si>
    <t>Komal</t>
  </si>
  <si>
    <t>Payal</t>
  </si>
  <si>
    <t>Aakash</t>
  </si>
  <si>
    <t>Deepak</t>
  </si>
  <si>
    <t>Laxmi</t>
  </si>
  <si>
    <t>Neha</t>
  </si>
  <si>
    <t>Absent</t>
  </si>
  <si>
    <t>Leave</t>
  </si>
  <si>
    <t>Half day</t>
  </si>
  <si>
    <t>Out Time</t>
  </si>
  <si>
    <t>Total days</t>
  </si>
  <si>
    <t>Total present</t>
  </si>
  <si>
    <t>Earning</t>
  </si>
  <si>
    <t>Deductions</t>
  </si>
  <si>
    <t>Basic Salary</t>
  </si>
  <si>
    <t>O. Earning</t>
  </si>
  <si>
    <t>Advance</t>
  </si>
  <si>
    <t>T.A</t>
  </si>
  <si>
    <t>D.A</t>
  </si>
  <si>
    <t>H.R.A</t>
  </si>
  <si>
    <t>T.Earning</t>
  </si>
  <si>
    <t>G. Salary</t>
  </si>
  <si>
    <t>PF</t>
  </si>
  <si>
    <t>T.Deduction</t>
  </si>
  <si>
    <t>Net Salary</t>
  </si>
  <si>
    <t>Date of Payment</t>
  </si>
  <si>
    <t>Dept.</t>
  </si>
  <si>
    <t>Post</t>
  </si>
  <si>
    <t>EPF No.</t>
  </si>
  <si>
    <t>ESI No.</t>
  </si>
  <si>
    <t>Overtime Hour</t>
  </si>
  <si>
    <t>Emp. DOR</t>
  </si>
  <si>
    <t>Emp. DoJ</t>
  </si>
  <si>
    <t>Emp. In/out</t>
  </si>
  <si>
    <t>SUN</t>
  </si>
  <si>
    <t>Absent amount per day</t>
  </si>
  <si>
    <t>Total present amount per day</t>
  </si>
  <si>
    <t>ESIC</t>
  </si>
  <si>
    <t>Leave charge per day</t>
  </si>
  <si>
    <t>Over time per hour pay</t>
  </si>
  <si>
    <t>IT</t>
  </si>
  <si>
    <t>AM</t>
  </si>
  <si>
    <t xml:space="preserve">Marketing </t>
  </si>
  <si>
    <t>Sales</t>
  </si>
  <si>
    <t>Account</t>
  </si>
  <si>
    <t>Account Manager</t>
  </si>
  <si>
    <t>Accountant</t>
  </si>
  <si>
    <t>Sales Manager</t>
  </si>
  <si>
    <t>Sales Cordinator</t>
  </si>
  <si>
    <t>Marketing Executive</t>
  </si>
  <si>
    <t>Mis</t>
  </si>
  <si>
    <t>Mis Executive</t>
  </si>
  <si>
    <t>IT Manager</t>
  </si>
  <si>
    <t>IT Engineer</t>
  </si>
  <si>
    <t>SK-</t>
  </si>
  <si>
    <t>Sunday</t>
  </si>
  <si>
    <t>PM</t>
  </si>
  <si>
    <t>Salary</t>
  </si>
  <si>
    <t xml:space="preserve"> overrtime =IF($BA$4="",$AY9/DAY($P5)/8*$BJ9,$BA4*$BJ9)</t>
  </si>
  <si>
    <t>Status</t>
  </si>
  <si>
    <t>Pending</t>
  </si>
  <si>
    <t>Done</t>
  </si>
  <si>
    <t>Process</t>
  </si>
  <si>
    <t xml:space="preserve">Absent per day amount </t>
  </si>
  <si>
    <t xml:space="preserve"> =MAX(($H9-$G9)*24-8,0)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</si>
</sst>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hh:mm\ AM/P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1" fillId="0" borderId="1" xfId="0" applyNumberFormat="1" applyFont="1" applyBorder="1"/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9" fontId="1" fillId="17" borderId="3" xfId="0" applyNumberFormat="1" applyFont="1" applyFill="1" applyBorder="1" applyAlignment="1">
      <alignment horizontal="center" vertical="center"/>
    </xf>
    <xf numFmtId="9" fontId="1" fillId="3" borderId="3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8" fontId="0" fillId="0" borderId="0" xfId="0" applyNumberFormat="1"/>
    <xf numFmtId="0" fontId="1" fillId="3" borderId="1" xfId="0" applyFont="1" applyFill="1" applyBorder="1"/>
    <xf numFmtId="0" fontId="1" fillId="1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0" xfId="0" applyFont="1"/>
    <xf numFmtId="1" fontId="4" fillId="0" borderId="0" xfId="0" applyNumberFormat="1" applyFont="1" applyAlignment="1">
      <alignment horizontal="center" vertical="center"/>
    </xf>
    <xf numFmtId="1" fontId="0" fillId="0" borderId="1" xfId="0" applyNumberFormat="1" applyBorder="1"/>
    <xf numFmtId="2" fontId="0" fillId="16" borderId="1" xfId="0" applyNumberForma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 vertical="center"/>
    </xf>
    <xf numFmtId="14" fontId="1" fillId="21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1" fillId="12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156">
    <dxf>
      <fill>
        <patternFill>
          <bgColor rgb="FF00B050"/>
        </patternFill>
      </fill>
    </dxf>
    <dxf>
      <fill>
        <patternFill>
          <bgColor rgb="FFFF1919"/>
        </patternFill>
      </fill>
    </dxf>
    <dxf>
      <fill>
        <patternFill>
          <bgColor theme="5" tint="0.39994506668294322"/>
        </patternFill>
      </fill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 tint="0.39994506668294322"/>
      </font>
    </dxf>
    <dxf>
      <fill>
        <patternFill>
          <bgColor rgb="FF00B050"/>
        </patternFill>
      </fill>
    </dxf>
    <dxf>
      <fill>
        <patternFill>
          <bgColor rgb="FFFF1919"/>
        </patternFill>
      </fill>
    </dxf>
    <dxf>
      <fill>
        <patternFill>
          <bgColor theme="5" tint="0.39994506668294322"/>
        </patternFill>
      </fill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 tint="0.39994506668294322"/>
      </font>
    </dxf>
    <dxf>
      <fill>
        <patternFill>
          <bgColor rgb="FF00B050"/>
        </patternFill>
      </fill>
    </dxf>
    <dxf>
      <fill>
        <patternFill>
          <bgColor rgb="FFFF1919"/>
        </patternFill>
      </fill>
    </dxf>
    <dxf>
      <fill>
        <patternFill>
          <bgColor theme="5" tint="0.39994506668294322"/>
        </patternFill>
      </fill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 tint="0.39994506668294322"/>
      </font>
    </dxf>
    <dxf>
      <fill>
        <patternFill>
          <bgColor rgb="FF00B050"/>
        </patternFill>
      </fill>
    </dxf>
    <dxf>
      <fill>
        <patternFill>
          <bgColor rgb="FFFF1919"/>
        </patternFill>
      </fill>
    </dxf>
    <dxf>
      <fill>
        <patternFill>
          <bgColor theme="5" tint="0.39994506668294322"/>
        </patternFill>
      </fill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 tint="0.39994506668294322"/>
      </font>
    </dxf>
    <dxf>
      <fill>
        <patternFill>
          <bgColor rgb="FF00B050"/>
        </patternFill>
      </fill>
    </dxf>
    <dxf>
      <fill>
        <patternFill>
          <bgColor rgb="FFFF1919"/>
        </patternFill>
      </fill>
    </dxf>
    <dxf>
      <fill>
        <patternFill>
          <bgColor theme="5" tint="0.39994506668294322"/>
        </patternFill>
      </fill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 tint="0.39994506668294322"/>
      </font>
    </dxf>
    <dxf>
      <fill>
        <patternFill>
          <bgColor rgb="FF00B050"/>
        </patternFill>
      </fill>
    </dxf>
    <dxf>
      <fill>
        <patternFill>
          <bgColor rgb="FFFF1919"/>
        </patternFill>
      </fill>
    </dxf>
    <dxf>
      <fill>
        <patternFill>
          <bgColor theme="5" tint="0.39994506668294322"/>
        </patternFill>
      </fill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 tint="0.39994506668294322"/>
      </font>
    </dxf>
    <dxf>
      <fill>
        <patternFill>
          <bgColor rgb="FF00B050"/>
        </patternFill>
      </fill>
    </dxf>
    <dxf>
      <fill>
        <patternFill>
          <bgColor rgb="FFFF1919"/>
        </patternFill>
      </fill>
    </dxf>
    <dxf>
      <fill>
        <patternFill>
          <bgColor theme="5" tint="0.39994506668294322"/>
        </patternFill>
      </fill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 tint="0.39994506668294322"/>
      </font>
    </dxf>
    <dxf>
      <fill>
        <patternFill>
          <bgColor rgb="FF00B050"/>
        </patternFill>
      </fill>
    </dxf>
    <dxf>
      <fill>
        <patternFill>
          <bgColor rgb="FFFF1919"/>
        </patternFill>
      </fill>
    </dxf>
    <dxf>
      <fill>
        <patternFill>
          <bgColor theme="5" tint="0.39994506668294322"/>
        </patternFill>
      </fill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 tint="0.39994506668294322"/>
      </font>
    </dxf>
    <dxf>
      <fill>
        <patternFill>
          <bgColor rgb="FF00B050"/>
        </patternFill>
      </fill>
    </dxf>
    <dxf>
      <fill>
        <patternFill>
          <bgColor rgb="FFFF1919"/>
        </patternFill>
      </fill>
    </dxf>
    <dxf>
      <fill>
        <patternFill>
          <bgColor theme="5" tint="0.39994506668294322"/>
        </patternFill>
      </fill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 tint="0.39994506668294322"/>
      </font>
    </dxf>
    <dxf>
      <fill>
        <patternFill>
          <bgColor rgb="FF00B050"/>
        </patternFill>
      </fill>
    </dxf>
    <dxf>
      <fill>
        <patternFill>
          <bgColor rgb="FFFF1919"/>
        </patternFill>
      </fill>
    </dxf>
    <dxf>
      <fill>
        <patternFill>
          <bgColor theme="5" tint="0.39994506668294322"/>
        </patternFill>
      </fill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 tint="0.39994506668294322"/>
      </font>
    </dxf>
    <dxf>
      <fill>
        <patternFill>
          <bgColor rgb="FF00B050"/>
        </patternFill>
      </fill>
    </dxf>
    <dxf>
      <fill>
        <patternFill>
          <bgColor rgb="FFFF1919"/>
        </patternFill>
      </fill>
    </dxf>
    <dxf>
      <fill>
        <patternFill>
          <bgColor theme="5" tint="0.39994506668294322"/>
        </patternFill>
      </fill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 tint="0.39994506668294322"/>
      </font>
    </dxf>
    <dxf>
      <fill>
        <patternFill>
          <bgColor rgb="FF00B050"/>
        </patternFill>
      </fill>
    </dxf>
    <dxf>
      <fill>
        <patternFill>
          <bgColor rgb="FFFF1919"/>
        </patternFill>
      </fill>
    </dxf>
    <dxf>
      <fill>
        <patternFill>
          <bgColor theme="5" tint="0.39994506668294322"/>
        </patternFill>
      </fill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 tint="0.39994506668294322"/>
      </font>
    </dxf>
  </dxfs>
  <tableStyles count="0" defaultTableStyle="TableStyleMedium2" defaultPivotStyle="PivotStyleLight16"/>
  <colors>
    <mruColors>
      <color rgb="FFFF6969"/>
      <color rgb="FFFF19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Jul!A1"/><Relationship Id="rId3" Type="http://schemas.openxmlformats.org/officeDocument/2006/relationships/hyperlink" Target="#Sep!A1"/><Relationship Id="rId7" Type="http://schemas.openxmlformats.org/officeDocument/2006/relationships/hyperlink" Target="#Mar!A1"/><Relationship Id="rId12" Type="http://schemas.openxmlformats.org/officeDocument/2006/relationships/hyperlink" Target="#Dec!A1"/><Relationship Id="rId2" Type="http://schemas.openxmlformats.org/officeDocument/2006/relationships/hyperlink" Target="#May!A1"/><Relationship Id="rId1" Type="http://schemas.openxmlformats.org/officeDocument/2006/relationships/hyperlink" Target="#Jan!A1"/><Relationship Id="rId6" Type="http://schemas.openxmlformats.org/officeDocument/2006/relationships/hyperlink" Target="#Oct!A1"/><Relationship Id="rId11" Type="http://schemas.openxmlformats.org/officeDocument/2006/relationships/hyperlink" Target="#Aug!A1"/><Relationship Id="rId5" Type="http://schemas.openxmlformats.org/officeDocument/2006/relationships/hyperlink" Target="#Jun!A1"/><Relationship Id="rId10" Type="http://schemas.openxmlformats.org/officeDocument/2006/relationships/hyperlink" Target="#Apr!A1"/><Relationship Id="rId4" Type="http://schemas.openxmlformats.org/officeDocument/2006/relationships/hyperlink" Target="#Feb!A1"/><Relationship Id="rId9" Type="http://schemas.openxmlformats.org/officeDocument/2006/relationships/hyperlink" Target="#Nov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28576</xdr:rowOff>
    </xdr:from>
    <xdr:to>
      <xdr:col>22</xdr:col>
      <xdr:colOff>1</xdr:colOff>
      <xdr:row>38</xdr:row>
      <xdr:rowOff>80530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xmlns="" id="{736758DE-04F2-134F-A251-D3BBC7DAD101}"/>
            </a:ext>
          </a:extLst>
        </xdr:cNvPr>
        <xdr:cNvGrpSpPr/>
      </xdr:nvGrpSpPr>
      <xdr:grpSpPr>
        <a:xfrm>
          <a:off x="9525" y="28576"/>
          <a:ext cx="13401676" cy="7290954"/>
          <a:chOff x="9525" y="1"/>
          <a:chExt cx="13461548" cy="7290954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SpPr/>
        </xdr:nvSpPr>
        <xdr:spPr>
          <a:xfrm>
            <a:off x="9525" y="1"/>
            <a:ext cx="13461548" cy="7290954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" name="Rounded Rectangle 1">
            <a:extLst>
              <a:ext uri="{FF2B5EF4-FFF2-40B4-BE49-F238E27FC236}">
                <a16:creationId xmlns:a16="http://schemas.microsoft.com/office/drawing/2014/main" xmlns="" id="{00000000-0008-0000-0000-000002000000}"/>
              </a:ext>
            </a:extLst>
          </xdr:cNvPr>
          <xdr:cNvSpPr/>
        </xdr:nvSpPr>
        <xdr:spPr>
          <a:xfrm>
            <a:off x="2065565" y="2021836"/>
            <a:ext cx="8141153" cy="3706962"/>
          </a:xfrm>
          <a:prstGeom prst="roundRect">
            <a:avLst/>
          </a:prstGeom>
          <a:solidFill>
            <a:schemeClr val="accent5">
              <a:lumMod val="40000"/>
              <a:lumOff val="60000"/>
            </a:schemeClr>
          </a:solidFill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Round Diagonal Corner Rectangle 15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xmlns="" id="{00000000-0008-0000-0000-000010000000}"/>
              </a:ext>
            </a:extLst>
          </xdr:cNvPr>
          <xdr:cNvSpPr/>
        </xdr:nvSpPr>
        <xdr:spPr>
          <a:xfrm>
            <a:off x="2611210" y="2343151"/>
            <a:ext cx="1129394" cy="523875"/>
          </a:xfrm>
          <a:prstGeom prst="round2DiagRect">
            <a:avLst/>
          </a:prstGeom>
          <a:solidFill>
            <a:srgbClr val="00B0F0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ngle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chemeClr val="bg1"/>
                </a:solidFill>
              </a:rPr>
              <a:t>JAN</a:t>
            </a:r>
            <a:endParaRPr 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23" name="Round Diagonal Corner Rectangle 2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xmlns="" id="{00000000-0008-0000-0000-000017000000}"/>
              </a:ext>
            </a:extLst>
          </xdr:cNvPr>
          <xdr:cNvSpPr/>
        </xdr:nvSpPr>
        <xdr:spPr>
          <a:xfrm>
            <a:off x="2611210" y="3667126"/>
            <a:ext cx="1129394" cy="523875"/>
          </a:xfrm>
          <a:prstGeom prst="round2DiagRect">
            <a:avLst/>
          </a:prstGeom>
          <a:solidFill>
            <a:srgbClr val="00B0F0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ngle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chemeClr val="bg1"/>
                </a:solidFill>
              </a:rPr>
              <a:t>MAY</a:t>
            </a:r>
            <a:endParaRPr 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24" name="Round Diagonal Corner Rectangle 2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SpPr/>
        </xdr:nvSpPr>
        <xdr:spPr>
          <a:xfrm>
            <a:off x="2611210" y="4991101"/>
            <a:ext cx="1129394" cy="523875"/>
          </a:xfrm>
          <a:prstGeom prst="round2DiagRect">
            <a:avLst/>
          </a:prstGeom>
          <a:solidFill>
            <a:srgbClr val="00B0F0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ngle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chemeClr val="bg1"/>
                </a:solidFill>
              </a:rPr>
              <a:t>SEP</a:t>
            </a:r>
          </a:p>
        </xdr:txBody>
      </xdr:sp>
      <xdr:sp macro="" textlink="">
        <xdr:nvSpPr>
          <xdr:cNvPr id="25" name="Round Diagonal Corner Rectangle 24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4686299" y="2314576"/>
            <a:ext cx="1129394" cy="523875"/>
          </a:xfrm>
          <a:prstGeom prst="round2DiagRect">
            <a:avLst/>
          </a:prstGeom>
          <a:solidFill>
            <a:srgbClr val="00B0F0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ngle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chemeClr val="bg1"/>
                </a:solidFill>
              </a:rPr>
              <a:t>FEB</a:t>
            </a:r>
            <a:endParaRPr 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26" name="Round Diagonal Corner Rectangle 2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4686299" y="3638551"/>
            <a:ext cx="1129394" cy="523875"/>
          </a:xfrm>
          <a:prstGeom prst="round2DiagRect">
            <a:avLst/>
          </a:prstGeom>
          <a:solidFill>
            <a:srgbClr val="00B0F0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ngle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chemeClr val="bg1"/>
                </a:solidFill>
              </a:rPr>
              <a:t>JUNE</a:t>
            </a:r>
            <a:endParaRPr 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27" name="Round Diagonal Corner Rectangle 2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xmlns="" id="{00000000-0008-0000-0000-00001B000000}"/>
              </a:ext>
            </a:extLst>
          </xdr:cNvPr>
          <xdr:cNvSpPr/>
        </xdr:nvSpPr>
        <xdr:spPr>
          <a:xfrm>
            <a:off x="4686299" y="4962526"/>
            <a:ext cx="1129394" cy="523875"/>
          </a:xfrm>
          <a:prstGeom prst="round2DiagRect">
            <a:avLst/>
          </a:prstGeom>
          <a:solidFill>
            <a:srgbClr val="00B0F0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ngle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chemeClr val="bg1"/>
                </a:solidFill>
              </a:rPr>
              <a:t>OCT</a:t>
            </a:r>
            <a:endParaRPr 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28" name="Round Diagonal Corner Rectangle 27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xmlns="" id="{00000000-0008-0000-0000-00001C000000}"/>
              </a:ext>
            </a:extLst>
          </xdr:cNvPr>
          <xdr:cNvSpPr/>
        </xdr:nvSpPr>
        <xdr:spPr>
          <a:xfrm>
            <a:off x="6618513" y="2326822"/>
            <a:ext cx="1129394" cy="523875"/>
          </a:xfrm>
          <a:prstGeom prst="round2DiagRect">
            <a:avLst/>
          </a:prstGeom>
          <a:solidFill>
            <a:srgbClr val="00B0F0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ngle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chemeClr val="bg1"/>
                </a:solidFill>
              </a:rPr>
              <a:t>MAR</a:t>
            </a:r>
            <a:endParaRPr 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29" name="Round Diagonal Corner Rectangle 28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xmlns="" id="{00000000-0008-0000-0000-00001D000000}"/>
              </a:ext>
            </a:extLst>
          </xdr:cNvPr>
          <xdr:cNvSpPr/>
        </xdr:nvSpPr>
        <xdr:spPr>
          <a:xfrm>
            <a:off x="6618513" y="3678011"/>
            <a:ext cx="1129394" cy="523875"/>
          </a:xfrm>
          <a:prstGeom prst="round2DiagRect">
            <a:avLst/>
          </a:prstGeom>
          <a:solidFill>
            <a:srgbClr val="00B0F0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ngle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chemeClr val="bg1"/>
                </a:solidFill>
              </a:rPr>
              <a:t>JULY</a:t>
            </a:r>
            <a:endParaRPr 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30" name="Round Diagonal Corner Rectangle 29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SpPr/>
        </xdr:nvSpPr>
        <xdr:spPr>
          <a:xfrm>
            <a:off x="6618513" y="4947558"/>
            <a:ext cx="1129394" cy="523875"/>
          </a:xfrm>
          <a:prstGeom prst="round2DiagRect">
            <a:avLst/>
          </a:prstGeom>
          <a:solidFill>
            <a:srgbClr val="00B0F0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ngle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chemeClr val="bg1"/>
                </a:solidFill>
              </a:rPr>
              <a:t>NOV</a:t>
            </a:r>
            <a:endParaRPr 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31" name="Round Diagonal Corner Rectangle 30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xmlns="" id="{00000000-0008-0000-0000-00001F000000}"/>
              </a:ext>
            </a:extLst>
          </xdr:cNvPr>
          <xdr:cNvSpPr/>
        </xdr:nvSpPr>
        <xdr:spPr>
          <a:xfrm>
            <a:off x="8620124" y="2324101"/>
            <a:ext cx="1126672" cy="523875"/>
          </a:xfrm>
          <a:prstGeom prst="round2DiagRect">
            <a:avLst/>
          </a:prstGeom>
          <a:solidFill>
            <a:srgbClr val="00B0F0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ngle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chemeClr val="bg1"/>
                </a:solidFill>
              </a:rPr>
              <a:t>APR</a:t>
            </a:r>
            <a:endParaRPr 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32" name="Round Diagonal Corner Rectangle 31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xmlns="" id="{00000000-0008-0000-0000-000020000000}"/>
              </a:ext>
            </a:extLst>
          </xdr:cNvPr>
          <xdr:cNvSpPr/>
        </xdr:nvSpPr>
        <xdr:spPr>
          <a:xfrm>
            <a:off x="8620124" y="3648076"/>
            <a:ext cx="1126672" cy="523875"/>
          </a:xfrm>
          <a:prstGeom prst="round2DiagRect">
            <a:avLst/>
          </a:prstGeom>
          <a:solidFill>
            <a:srgbClr val="00B0F0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ngle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chemeClr val="bg1"/>
                </a:solidFill>
              </a:rPr>
              <a:t>AUG</a:t>
            </a:r>
            <a:endParaRPr 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33" name="Round Diagonal Corner Rectangle 32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SpPr/>
        </xdr:nvSpPr>
        <xdr:spPr>
          <a:xfrm>
            <a:off x="8579303" y="4944836"/>
            <a:ext cx="1126672" cy="523875"/>
          </a:xfrm>
          <a:prstGeom prst="round2DiagRect">
            <a:avLst/>
          </a:prstGeom>
          <a:solidFill>
            <a:srgbClr val="00B0F0"/>
          </a:solidFill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ngle"/>
            <a:contourClr>
              <a:srgbClr val="FFFFFF"/>
            </a:contourClr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>
                <a:solidFill>
                  <a:schemeClr val="bg1"/>
                </a:solidFill>
              </a:rPr>
              <a:t>DEC</a:t>
            </a:r>
            <a:endParaRPr 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2</xdr:col>
      <xdr:colOff>161925</xdr:colOff>
      <xdr:row>0</xdr:row>
      <xdr:rowOff>141517</xdr:rowOff>
    </xdr:from>
    <xdr:to>
      <xdr:col>17</xdr:col>
      <xdr:colOff>342900</xdr:colOff>
      <xdr:row>7</xdr:row>
      <xdr:rowOff>141517</xdr:rowOff>
    </xdr:to>
    <xdr:sp macro="" textlink="">
      <xdr:nvSpPr>
        <xdr:cNvPr id="5" name="Arrow: Left-Right 4">
          <a:extLst>
            <a:ext uri="{FF2B5EF4-FFF2-40B4-BE49-F238E27FC236}">
              <a16:creationId xmlns:a16="http://schemas.microsoft.com/office/drawing/2014/main" xmlns="" id="{2EF33866-61DD-FF49-08DC-FA1DA16B5558}"/>
            </a:ext>
          </a:extLst>
        </xdr:cNvPr>
        <xdr:cNvSpPr/>
      </xdr:nvSpPr>
      <xdr:spPr>
        <a:xfrm>
          <a:off x="1386568" y="141517"/>
          <a:ext cx="9365796" cy="1333500"/>
        </a:xfrm>
        <a:prstGeom prst="leftRightArrow">
          <a:avLst/>
        </a:prstGeom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+mn-lt"/>
              <a:ea typeface="+mn-ea"/>
              <a:cs typeface="+mn-cs"/>
            </a:rPr>
            <a:t>Attendance for</a:t>
          </a:r>
          <a:r>
            <a:rPr lang="en-US" sz="40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+mn-lt"/>
              <a:ea typeface="+mn-ea"/>
              <a:cs typeface="+mn-cs"/>
            </a:rPr>
            <a:t> 2025</a:t>
          </a:r>
          <a:endParaRPr lang="en-US" sz="4000" b="1" cap="none" spc="0">
            <a:ln w="9525">
              <a:solidFill>
                <a:schemeClr val="bg1"/>
              </a:solidFill>
              <a:prstDash val="solid"/>
            </a:ln>
            <a:solidFill>
              <a:schemeClr val="accent5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100853</xdr:colOff>
      <xdr:row>2</xdr:row>
      <xdr:rowOff>78442</xdr:rowOff>
    </xdr:from>
    <xdr:to>
      <xdr:col>1</xdr:col>
      <xdr:colOff>414618</xdr:colOff>
      <xdr:row>5</xdr:row>
      <xdr:rowOff>44827</xdr:rowOff>
    </xdr:to>
    <xdr:sp macro="" textlink="">
      <xdr:nvSpPr>
        <xdr:cNvPr id="2" name="Down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 rot="5400000">
          <a:off x="336175" y="224120"/>
          <a:ext cx="537885" cy="1008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398930</xdr:colOff>
      <xdr:row>5</xdr:row>
      <xdr:rowOff>156885</xdr:rowOff>
    </xdr:to>
    <xdr:sp macro="" textlink="">
      <xdr:nvSpPr>
        <xdr:cNvPr id="2" name="Down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C58898-FA57-4B51-9056-8E276CBEC4B4}"/>
            </a:ext>
          </a:extLst>
        </xdr:cNvPr>
        <xdr:cNvSpPr/>
      </xdr:nvSpPr>
      <xdr:spPr>
        <a:xfrm rot="5400000">
          <a:off x="235322" y="717178"/>
          <a:ext cx="537885" cy="1008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313205</xdr:colOff>
      <xdr:row>5</xdr:row>
      <xdr:rowOff>156885</xdr:rowOff>
    </xdr:to>
    <xdr:sp macro="" textlink="">
      <xdr:nvSpPr>
        <xdr:cNvPr id="2" name="Down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88A496D-558C-4D70-B345-135CA3DA4B8B}"/>
            </a:ext>
          </a:extLst>
        </xdr:cNvPr>
        <xdr:cNvSpPr/>
      </xdr:nvSpPr>
      <xdr:spPr>
        <a:xfrm rot="5400000">
          <a:off x="235322" y="717178"/>
          <a:ext cx="537885" cy="1008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313205</xdr:colOff>
      <xdr:row>5</xdr:row>
      <xdr:rowOff>156885</xdr:rowOff>
    </xdr:to>
    <xdr:sp macro="" textlink="">
      <xdr:nvSpPr>
        <xdr:cNvPr id="2" name="Down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7AF0FDF-D3AE-4993-AE2B-E146DBCE181A}"/>
            </a:ext>
          </a:extLst>
        </xdr:cNvPr>
        <xdr:cNvSpPr/>
      </xdr:nvSpPr>
      <xdr:spPr>
        <a:xfrm rot="5400000">
          <a:off x="235322" y="717178"/>
          <a:ext cx="537885" cy="1008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313205</xdr:colOff>
      <xdr:row>5</xdr:row>
      <xdr:rowOff>156885</xdr:rowOff>
    </xdr:to>
    <xdr:sp macro="" textlink="">
      <xdr:nvSpPr>
        <xdr:cNvPr id="2" name="Down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56DD489-AE11-4390-BE31-363F791D595E}"/>
            </a:ext>
          </a:extLst>
        </xdr:cNvPr>
        <xdr:cNvSpPr/>
      </xdr:nvSpPr>
      <xdr:spPr>
        <a:xfrm rot="5400000">
          <a:off x="235322" y="717178"/>
          <a:ext cx="537885" cy="1008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313205</xdr:colOff>
      <xdr:row>5</xdr:row>
      <xdr:rowOff>156885</xdr:rowOff>
    </xdr:to>
    <xdr:sp macro="" textlink="">
      <xdr:nvSpPr>
        <xdr:cNvPr id="2" name="Down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5ADA64-7225-4106-895C-83683A8A1178}"/>
            </a:ext>
          </a:extLst>
        </xdr:cNvPr>
        <xdr:cNvSpPr/>
      </xdr:nvSpPr>
      <xdr:spPr>
        <a:xfrm rot="5400000">
          <a:off x="235322" y="717178"/>
          <a:ext cx="537885" cy="1008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313205</xdr:colOff>
      <xdr:row>5</xdr:row>
      <xdr:rowOff>156885</xdr:rowOff>
    </xdr:to>
    <xdr:sp macro="" textlink="">
      <xdr:nvSpPr>
        <xdr:cNvPr id="2" name="Down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87DD535-0370-4D8E-B29D-E2EC138ACD3B}"/>
            </a:ext>
          </a:extLst>
        </xdr:cNvPr>
        <xdr:cNvSpPr/>
      </xdr:nvSpPr>
      <xdr:spPr>
        <a:xfrm rot="5400000">
          <a:off x="235322" y="717178"/>
          <a:ext cx="537885" cy="1008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313205</xdr:colOff>
      <xdr:row>5</xdr:row>
      <xdr:rowOff>156885</xdr:rowOff>
    </xdr:to>
    <xdr:sp macro="" textlink="">
      <xdr:nvSpPr>
        <xdr:cNvPr id="2" name="Down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46768BC-92FF-4F69-9603-DE80D1A74A8C}"/>
            </a:ext>
          </a:extLst>
        </xdr:cNvPr>
        <xdr:cNvSpPr/>
      </xdr:nvSpPr>
      <xdr:spPr>
        <a:xfrm rot="5400000">
          <a:off x="235322" y="717178"/>
          <a:ext cx="537885" cy="1008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313205</xdr:colOff>
      <xdr:row>5</xdr:row>
      <xdr:rowOff>156885</xdr:rowOff>
    </xdr:to>
    <xdr:sp macro="" textlink="">
      <xdr:nvSpPr>
        <xdr:cNvPr id="2" name="Down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4C43EBE-1AA1-4798-A5A6-9818BE37DA3E}"/>
            </a:ext>
          </a:extLst>
        </xdr:cNvPr>
        <xdr:cNvSpPr/>
      </xdr:nvSpPr>
      <xdr:spPr>
        <a:xfrm rot="5400000">
          <a:off x="235322" y="717178"/>
          <a:ext cx="537885" cy="1008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313205</xdr:colOff>
      <xdr:row>5</xdr:row>
      <xdr:rowOff>156885</xdr:rowOff>
    </xdr:to>
    <xdr:sp macro="" textlink="">
      <xdr:nvSpPr>
        <xdr:cNvPr id="2" name="Down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5B29954-6416-4B3D-8169-2198E289572B}"/>
            </a:ext>
          </a:extLst>
        </xdr:cNvPr>
        <xdr:cNvSpPr/>
      </xdr:nvSpPr>
      <xdr:spPr>
        <a:xfrm rot="5400000">
          <a:off x="235322" y="717178"/>
          <a:ext cx="537885" cy="1008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313205</xdr:colOff>
      <xdr:row>5</xdr:row>
      <xdr:rowOff>156885</xdr:rowOff>
    </xdr:to>
    <xdr:sp macro="" textlink="">
      <xdr:nvSpPr>
        <xdr:cNvPr id="2" name="Down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AF3C23CC-6CDC-444E-BFDB-4850DD7ED1D7}"/>
            </a:ext>
          </a:extLst>
        </xdr:cNvPr>
        <xdr:cNvSpPr/>
      </xdr:nvSpPr>
      <xdr:spPr>
        <a:xfrm rot="5400000">
          <a:off x="235322" y="717178"/>
          <a:ext cx="537885" cy="1008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313205</xdr:colOff>
      <xdr:row>5</xdr:row>
      <xdr:rowOff>156885</xdr:rowOff>
    </xdr:to>
    <xdr:sp macro="" textlink="">
      <xdr:nvSpPr>
        <xdr:cNvPr id="2" name="Down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F50226C1-278A-45AA-8FF8-95F571AD68D5}"/>
            </a:ext>
          </a:extLst>
        </xdr:cNvPr>
        <xdr:cNvSpPr/>
      </xdr:nvSpPr>
      <xdr:spPr>
        <a:xfrm rot="5400000">
          <a:off x="235322" y="717178"/>
          <a:ext cx="537885" cy="1008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showGridLines="0" tabSelected="1" zoomScaleNormal="100" workbookViewId="0">
      <selection activeCell="AB25" sqref="AB25"/>
    </sheetView>
  </sheetViews>
  <sheetFormatPr defaultRowHeight="15" x14ac:dyDescent="0.25"/>
  <sheetData>
    <row r="1" ht="15" customHeight="1" x14ac:dyDescent="0.25"/>
    <row r="2" ht="15" customHeight="1" x14ac:dyDescent="0.25"/>
    <row r="3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24"/>
  <sheetViews>
    <sheetView zoomScaleNormal="100" workbookViewId="0">
      <selection sqref="A1:AR2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10.85546875" bestFit="1" customWidth="1"/>
    <col min="4" max="4" width="19.5703125" bestFit="1" customWidth="1"/>
    <col min="5" max="5" width="15.140625" customWidth="1"/>
    <col min="6" max="6" width="16.42578125" customWidth="1"/>
    <col min="8" max="8" width="8.7109375" customWidth="1"/>
    <col min="9" max="9" width="10.5703125" bestFit="1" customWidth="1"/>
    <col min="10" max="10" width="11" customWidth="1"/>
    <col min="11" max="11" width="29.42578125" customWidth="1"/>
    <col min="12" max="12" width="8.7109375" customWidth="1"/>
    <col min="13" max="37" width="10.5703125" bestFit="1" customWidth="1"/>
    <col min="38" max="38" width="10.5703125" customWidth="1"/>
    <col min="39" max="43" width="10.5703125" bestFit="1" customWidth="1"/>
    <col min="44" max="44" width="10.5703125" customWidth="1"/>
    <col min="45" max="45" width="8" customWidth="1"/>
    <col min="46" max="46" width="7.5703125" customWidth="1"/>
    <col min="47" max="47" width="9.5703125" customWidth="1"/>
    <col min="48" max="48" width="9" customWidth="1"/>
    <col min="49" max="49" width="12.85546875" customWidth="1"/>
    <col min="50" max="50" width="12.7109375" bestFit="1" customWidth="1"/>
    <col min="51" max="51" width="12.28515625" bestFit="1" customWidth="1"/>
    <col min="52" max="52" width="19.7109375" bestFit="1" customWidth="1"/>
    <col min="53" max="53" width="21.85546875" bestFit="1" customWidth="1"/>
    <col min="54" max="54" width="22" bestFit="1" customWidth="1"/>
    <col min="55" max="55" width="27.5703125" bestFit="1" customWidth="1"/>
    <col min="56" max="56" width="12.28515625" bestFit="1" customWidth="1"/>
    <col min="57" max="57" width="7.5703125" customWidth="1"/>
    <col min="58" max="58" width="11.7109375" bestFit="1" customWidth="1"/>
    <col min="59" max="59" width="22" bestFit="1" customWidth="1"/>
    <col min="60" max="62" width="14.28515625" bestFit="1" customWidth="1"/>
    <col min="63" max="63" width="11" customWidth="1"/>
    <col min="64" max="64" width="15.7109375" bestFit="1" customWidth="1"/>
    <col min="65" max="65" width="22" bestFit="1" customWidth="1"/>
    <col min="66" max="66" width="15.85546875" bestFit="1" customWidth="1"/>
    <col min="67" max="67" width="12.28515625" bestFit="1" customWidth="1"/>
    <col min="68" max="68" width="10" bestFit="1" customWidth="1"/>
    <col min="69" max="70" width="15.85546875" bestFit="1" customWidth="1"/>
  </cols>
  <sheetData>
    <row r="1" spans="1:69" ht="30" customHeight="1" x14ac:dyDescent="0.25">
      <c r="A1" s="49" t="str">
        <f>"Attendance for"&amp;" "&amp;TEXT(P4,"mmmm yyyy")&amp;" "&amp;"Month"</f>
        <v>Attendance for January 2025 Month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BB1" s="15"/>
      <c r="BC1" s="42">
        <f>$AY$9/30</f>
        <v>866.66666666666663</v>
      </c>
      <c r="BD1" s="39">
        <f>BC1*30</f>
        <v>26000</v>
      </c>
      <c r="BE1" s="39"/>
      <c r="BF1" s="39"/>
    </row>
    <row r="2" spans="1:69" ht="30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X2" s="23" t="s">
        <v>87</v>
      </c>
      <c r="AY2" s="24" t="s">
        <v>40</v>
      </c>
      <c r="AZ2" s="36" t="s">
        <v>70</v>
      </c>
      <c r="BA2" s="36" t="s">
        <v>71</v>
      </c>
      <c r="BB2" s="31" t="s">
        <v>67</v>
      </c>
      <c r="BC2" s="35" t="s">
        <v>68</v>
      </c>
      <c r="BD2" s="32" t="s">
        <v>89</v>
      </c>
      <c r="BE2" s="39"/>
      <c r="BF2" s="39">
        <f>AX9*BC1</f>
        <v>24266.666666666664</v>
      </c>
    </row>
    <row r="3" spans="1:69" x14ac:dyDescent="0.25">
      <c r="AX3" s="37">
        <f>$BC$1*$AV$9</f>
        <v>3466.6666666666665</v>
      </c>
      <c r="AY3" s="37">
        <f>$BC$1*$AW$9/2</f>
        <v>866.66666666666663</v>
      </c>
      <c r="AZ3" s="37">
        <f>$BC$1*$AU$9/2</f>
        <v>866.66666666666663</v>
      </c>
      <c r="BA3" s="37">
        <f>$BC$1/8*$BJ$9</f>
        <v>541.66666666666663</v>
      </c>
      <c r="BB3" s="37">
        <f>$BC$1*$AT$9</f>
        <v>866.66666666666663</v>
      </c>
      <c r="BC3" s="15">
        <f>$BC$1*$AS$9</f>
        <v>19066.666666666664</v>
      </c>
      <c r="BD3" s="40">
        <f>(AX3)+(AY3)+(AZ3)+(BC3)</f>
        <v>24266.666666666664</v>
      </c>
      <c r="BE3" s="39"/>
      <c r="BF3" s="39"/>
    </row>
    <row r="4" spans="1:69" x14ac:dyDescent="0.25">
      <c r="L4" s="34" t="s">
        <v>14</v>
      </c>
      <c r="M4" s="34" t="s">
        <v>15</v>
      </c>
      <c r="O4" s="34" t="s">
        <v>0</v>
      </c>
      <c r="P4" s="3">
        <f>DATEVALUE("1"&amp;L5&amp;M5)</f>
        <v>45658</v>
      </c>
      <c r="AX4" s="15"/>
      <c r="AY4" s="15"/>
      <c r="AZ4" s="15"/>
      <c r="BA4" s="15"/>
      <c r="BB4" s="15"/>
      <c r="BC4" s="15"/>
      <c r="BD4" s="32"/>
      <c r="BE4" s="39"/>
      <c r="BF4" s="39"/>
    </row>
    <row r="5" spans="1:69" x14ac:dyDescent="0.25">
      <c r="L5" s="2" t="s">
        <v>2</v>
      </c>
      <c r="M5" s="2">
        <v>2025</v>
      </c>
      <c r="O5" s="34" t="s">
        <v>1</v>
      </c>
      <c r="P5" s="3">
        <f>EOMONTH(P4,0)</f>
        <v>45688</v>
      </c>
      <c r="AX5" s="10"/>
      <c r="AY5" s="10"/>
      <c r="AZ5" s="10"/>
      <c r="BA5" s="10"/>
      <c r="BB5" s="10"/>
      <c r="BC5" s="38"/>
      <c r="BD5" s="10"/>
      <c r="BI5" s="11"/>
      <c r="BJ5" s="11"/>
      <c r="BL5" s="11"/>
    </row>
    <row r="6" spans="1:69" x14ac:dyDescent="0.25">
      <c r="A6" s="32" t="s">
        <v>86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2"/>
      <c r="P6" s="13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X6" s="10"/>
      <c r="AZ6" s="48" t="s">
        <v>44</v>
      </c>
      <c r="BA6" s="48"/>
      <c r="BB6" s="48"/>
      <c r="BE6" s="51" t="s">
        <v>45</v>
      </c>
      <c r="BF6" s="51"/>
      <c r="BG6" s="52"/>
    </row>
    <row r="7" spans="1:69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8" t="str">
        <f t="shared" ref="M7:AQ7" si="0">TEXT(M8,"Ddd")</f>
        <v>Wed</v>
      </c>
      <c r="N7" s="8" t="str">
        <f t="shared" si="0"/>
        <v>Thu</v>
      </c>
      <c r="O7" s="8" t="str">
        <f t="shared" si="0"/>
        <v>Fri</v>
      </c>
      <c r="P7" s="8" t="str">
        <f t="shared" si="0"/>
        <v>Sat</v>
      </c>
      <c r="Q7" s="8" t="str">
        <f t="shared" si="0"/>
        <v>Sun</v>
      </c>
      <c r="R7" s="8" t="str">
        <f t="shared" si="0"/>
        <v>Mon</v>
      </c>
      <c r="S7" s="8" t="str">
        <f t="shared" si="0"/>
        <v>Tue</v>
      </c>
      <c r="T7" s="8" t="str">
        <f t="shared" si="0"/>
        <v>Wed</v>
      </c>
      <c r="U7" s="8" t="str">
        <f t="shared" si="0"/>
        <v>Thu</v>
      </c>
      <c r="V7" s="8" t="str">
        <f t="shared" si="0"/>
        <v>Fri</v>
      </c>
      <c r="W7" s="8" t="str">
        <f t="shared" si="0"/>
        <v>Sat</v>
      </c>
      <c r="X7" s="8" t="str">
        <f t="shared" si="0"/>
        <v>Sun</v>
      </c>
      <c r="Y7" s="8" t="str">
        <f t="shared" si="0"/>
        <v>Mon</v>
      </c>
      <c r="Z7" s="8" t="str">
        <f t="shared" si="0"/>
        <v>Tue</v>
      </c>
      <c r="AA7" s="8" t="str">
        <f t="shared" si="0"/>
        <v>Wed</v>
      </c>
      <c r="AB7" s="8" t="str">
        <f t="shared" si="0"/>
        <v>Thu</v>
      </c>
      <c r="AC7" s="8" t="str">
        <f t="shared" si="0"/>
        <v>Fri</v>
      </c>
      <c r="AD7" s="8" t="str">
        <f t="shared" si="0"/>
        <v>Sat</v>
      </c>
      <c r="AE7" s="8" t="str">
        <f t="shared" si="0"/>
        <v>Sun</v>
      </c>
      <c r="AF7" s="8" t="str">
        <f t="shared" si="0"/>
        <v>Mon</v>
      </c>
      <c r="AG7" s="8" t="str">
        <f t="shared" si="0"/>
        <v>Tue</v>
      </c>
      <c r="AH7" s="8" t="str">
        <f t="shared" si="0"/>
        <v>Wed</v>
      </c>
      <c r="AI7" s="8" t="str">
        <f t="shared" si="0"/>
        <v>Thu</v>
      </c>
      <c r="AJ7" s="8" t="str">
        <f t="shared" si="0"/>
        <v>Fri</v>
      </c>
      <c r="AK7" s="8" t="str">
        <f t="shared" si="0"/>
        <v>Sat</v>
      </c>
      <c r="AL7" s="8" t="str">
        <f t="shared" si="0"/>
        <v>Sun</v>
      </c>
      <c r="AM7" s="8" t="str">
        <f t="shared" si="0"/>
        <v>Mon</v>
      </c>
      <c r="AN7" s="8" t="str">
        <f t="shared" si="0"/>
        <v>Tue</v>
      </c>
      <c r="AO7" s="8" t="str">
        <f t="shared" si="0"/>
        <v>Wed</v>
      </c>
      <c r="AP7" s="8" t="str">
        <f t="shared" si="0"/>
        <v>Thu</v>
      </c>
      <c r="AQ7" s="8" t="str">
        <f t="shared" si="0"/>
        <v>Fri</v>
      </c>
      <c r="AX7" s="10"/>
      <c r="AY7" s="10"/>
      <c r="AZ7" s="28">
        <v>0.03</v>
      </c>
      <c r="BA7" s="28">
        <v>0.05</v>
      </c>
      <c r="BB7" s="28">
        <v>7.0000000000000007E-2</v>
      </c>
      <c r="BC7" s="10"/>
      <c r="BE7" s="29">
        <v>0.12</v>
      </c>
      <c r="BF7" s="29">
        <v>0.02</v>
      </c>
      <c r="BH7" s="10"/>
      <c r="BM7" s="10"/>
      <c r="BN7" s="10"/>
      <c r="BO7" s="10"/>
      <c r="BP7" s="11"/>
      <c r="BQ7" s="10"/>
    </row>
    <row r="8" spans="1:69" x14ac:dyDescent="0.25">
      <c r="A8" s="14" t="s">
        <v>16</v>
      </c>
      <c r="B8" s="14" t="s">
        <v>17</v>
      </c>
      <c r="C8" s="14" t="s">
        <v>58</v>
      </c>
      <c r="D8" s="14" t="s">
        <v>59</v>
      </c>
      <c r="E8" s="14" t="s">
        <v>60</v>
      </c>
      <c r="F8" s="14" t="s">
        <v>61</v>
      </c>
      <c r="G8" s="14" t="s">
        <v>18</v>
      </c>
      <c r="H8" s="14" t="s">
        <v>41</v>
      </c>
      <c r="I8" s="14" t="s">
        <v>64</v>
      </c>
      <c r="J8" s="14" t="s">
        <v>63</v>
      </c>
      <c r="K8" s="14" t="s">
        <v>65</v>
      </c>
      <c r="L8" s="14" t="s">
        <v>20</v>
      </c>
      <c r="M8" s="46">
        <f>P4</f>
        <v>45658</v>
      </c>
      <c r="N8" s="46">
        <f t="shared" ref="N8:AM8" si="1">M8+1</f>
        <v>45659</v>
      </c>
      <c r="O8" s="46">
        <f t="shared" si="1"/>
        <v>45660</v>
      </c>
      <c r="P8" s="46">
        <f t="shared" si="1"/>
        <v>45661</v>
      </c>
      <c r="Q8" s="46">
        <f t="shared" si="1"/>
        <v>45662</v>
      </c>
      <c r="R8" s="46">
        <f t="shared" si="1"/>
        <v>45663</v>
      </c>
      <c r="S8" s="46">
        <f t="shared" si="1"/>
        <v>45664</v>
      </c>
      <c r="T8" s="46">
        <f t="shared" si="1"/>
        <v>45665</v>
      </c>
      <c r="U8" s="46">
        <f t="shared" si="1"/>
        <v>45666</v>
      </c>
      <c r="V8" s="46">
        <f t="shared" si="1"/>
        <v>45667</v>
      </c>
      <c r="W8" s="46">
        <f t="shared" si="1"/>
        <v>45668</v>
      </c>
      <c r="X8" s="46">
        <f t="shared" si="1"/>
        <v>45669</v>
      </c>
      <c r="Y8" s="46">
        <f t="shared" si="1"/>
        <v>45670</v>
      </c>
      <c r="Z8" s="46">
        <f t="shared" si="1"/>
        <v>45671</v>
      </c>
      <c r="AA8" s="46">
        <f t="shared" si="1"/>
        <v>45672</v>
      </c>
      <c r="AB8" s="46">
        <f t="shared" si="1"/>
        <v>45673</v>
      </c>
      <c r="AC8" s="46">
        <f t="shared" si="1"/>
        <v>45674</v>
      </c>
      <c r="AD8" s="46">
        <f t="shared" si="1"/>
        <v>45675</v>
      </c>
      <c r="AE8" s="46">
        <f t="shared" si="1"/>
        <v>45676</v>
      </c>
      <c r="AF8" s="46">
        <f t="shared" si="1"/>
        <v>45677</v>
      </c>
      <c r="AG8" s="46">
        <f t="shared" si="1"/>
        <v>45678</v>
      </c>
      <c r="AH8" s="46">
        <f t="shared" si="1"/>
        <v>45679</v>
      </c>
      <c r="AI8" s="46">
        <f t="shared" si="1"/>
        <v>45680</v>
      </c>
      <c r="AJ8" s="46">
        <f t="shared" si="1"/>
        <v>45681</v>
      </c>
      <c r="AK8" s="46">
        <f t="shared" si="1"/>
        <v>45682</v>
      </c>
      <c r="AL8" s="46">
        <f t="shared" si="1"/>
        <v>45683</v>
      </c>
      <c r="AM8" s="46">
        <f t="shared" si="1"/>
        <v>45684</v>
      </c>
      <c r="AN8" s="46">
        <f>IF(AM8&lt;$P$5,AM8+1," ")</f>
        <v>45685</v>
      </c>
      <c r="AO8" s="46">
        <f>IF(AN8&lt;$P$5,AN8+1," ")</f>
        <v>45686</v>
      </c>
      <c r="AP8" s="46">
        <f>IF(AO8&lt;$P$5,AO8+1," ")</f>
        <v>45687</v>
      </c>
      <c r="AQ8" s="46">
        <f>IF(AP8&lt;$P$5,AP8+1," ")</f>
        <v>45688</v>
      </c>
      <c r="AR8" s="21" t="s">
        <v>42</v>
      </c>
      <c r="AS8" s="18" t="s">
        <v>25</v>
      </c>
      <c r="AT8" s="22" t="s">
        <v>38</v>
      </c>
      <c r="AU8" s="23" t="s">
        <v>39</v>
      </c>
      <c r="AV8" s="23" t="s">
        <v>87</v>
      </c>
      <c r="AW8" s="24" t="s">
        <v>40</v>
      </c>
      <c r="AX8" s="25" t="s">
        <v>43</v>
      </c>
      <c r="AY8" s="4" t="s">
        <v>46</v>
      </c>
      <c r="AZ8" s="4" t="s">
        <v>49</v>
      </c>
      <c r="BA8" s="26" t="s">
        <v>50</v>
      </c>
      <c r="BB8" s="8" t="s">
        <v>51</v>
      </c>
      <c r="BC8" s="27" t="s">
        <v>52</v>
      </c>
      <c r="BD8" s="20" t="s">
        <v>53</v>
      </c>
      <c r="BE8" s="7" t="s">
        <v>54</v>
      </c>
      <c r="BF8" s="9" t="s">
        <v>69</v>
      </c>
      <c r="BG8" s="45" t="s">
        <v>95</v>
      </c>
      <c r="BH8" s="27" t="s">
        <v>55</v>
      </c>
      <c r="BI8" s="7" t="s">
        <v>48</v>
      </c>
      <c r="BJ8" s="5" t="s">
        <v>62</v>
      </c>
      <c r="BK8" s="6" t="s">
        <v>47</v>
      </c>
      <c r="BL8" s="19" t="s">
        <v>56</v>
      </c>
      <c r="BM8" s="20" t="s">
        <v>57</v>
      </c>
      <c r="BN8" s="44" t="s">
        <v>91</v>
      </c>
    </row>
    <row r="9" spans="1:69" x14ac:dyDescent="0.25">
      <c r="A9" s="30" t="str">
        <f>$A$6&amp;IF(B9="","",COUNTA($B$9:B9)+100)</f>
        <v>SK-101</v>
      </c>
      <c r="B9" s="15" t="s">
        <v>27</v>
      </c>
      <c r="C9" s="15" t="s">
        <v>74</v>
      </c>
      <c r="D9" s="15" t="s">
        <v>80</v>
      </c>
      <c r="E9" s="15"/>
      <c r="F9" s="15"/>
      <c r="G9" s="16">
        <v>0.39583333333333331</v>
      </c>
      <c r="H9" s="16">
        <v>0.875</v>
      </c>
      <c r="I9" s="17">
        <v>45692</v>
      </c>
      <c r="J9" s="17"/>
      <c r="K9" s="12" t="str">
        <f>IF($J9=""," ","Emp. Resign this Company")</f>
        <v xml:space="preserve"> </v>
      </c>
      <c r="L9" s="15"/>
      <c r="M9" s="12" t="s">
        <v>21</v>
      </c>
      <c r="N9" s="12" t="s">
        <v>21</v>
      </c>
      <c r="O9" s="12" t="s">
        <v>21</v>
      </c>
      <c r="P9" s="12" t="s">
        <v>21</v>
      </c>
      <c r="Q9" s="12" t="s">
        <v>66</v>
      </c>
      <c r="R9" s="12" t="s">
        <v>21</v>
      </c>
      <c r="S9" s="12" t="s">
        <v>24</v>
      </c>
      <c r="T9" s="12" t="s">
        <v>24</v>
      </c>
      <c r="U9" s="12" t="s">
        <v>21</v>
      </c>
      <c r="V9" s="12" t="s">
        <v>21</v>
      </c>
      <c r="W9" s="12" t="s">
        <v>23</v>
      </c>
      <c r="X9" s="12" t="s">
        <v>66</v>
      </c>
      <c r="Y9" s="12" t="s">
        <v>21</v>
      </c>
      <c r="Z9" s="12" t="s">
        <v>21</v>
      </c>
      <c r="AA9" s="12" t="s">
        <v>21</v>
      </c>
      <c r="AB9" s="12" t="s">
        <v>21</v>
      </c>
      <c r="AC9" s="12" t="s">
        <v>21</v>
      </c>
      <c r="AD9" s="12" t="s">
        <v>21</v>
      </c>
      <c r="AE9" s="12" t="s">
        <v>66</v>
      </c>
      <c r="AF9" s="12" t="s">
        <v>21</v>
      </c>
      <c r="AG9" s="12" t="s">
        <v>21</v>
      </c>
      <c r="AH9" s="12" t="s">
        <v>21</v>
      </c>
      <c r="AI9" s="12" t="s">
        <v>21</v>
      </c>
      <c r="AJ9" s="12" t="s">
        <v>22</v>
      </c>
      <c r="AK9" s="12" t="s">
        <v>21</v>
      </c>
      <c r="AL9" s="12" t="s">
        <v>66</v>
      </c>
      <c r="AM9" s="12" t="s">
        <v>21</v>
      </c>
      <c r="AN9" s="12" t="s">
        <v>23</v>
      </c>
      <c r="AO9" s="12" t="s">
        <v>21</v>
      </c>
      <c r="AP9" s="12" t="s">
        <v>21</v>
      </c>
      <c r="AQ9" s="12" t="s">
        <v>21</v>
      </c>
      <c r="AR9" s="15">
        <f>COUNTA(M9:AQ9)</f>
        <v>31</v>
      </c>
      <c r="AS9" s="15">
        <f>COUNTIF(M9:AQ9,"P")</f>
        <v>22</v>
      </c>
      <c r="AT9" s="15">
        <f>COUNTIF(M9:AQ9,"A")</f>
        <v>1</v>
      </c>
      <c r="AU9" s="15">
        <f>COUNTIF(M9:AQ9,"L")</f>
        <v>2</v>
      </c>
      <c r="AV9" s="15">
        <f>COUNTIF(M9:AQ9,"SUN")</f>
        <v>4</v>
      </c>
      <c r="AW9" s="15">
        <f>COUNTIF(M9:AQ9,"H")</f>
        <v>2</v>
      </c>
      <c r="AX9" s="15">
        <f>($AR9-$AT9)-($AW9/2)-($AU9/2)</f>
        <v>28</v>
      </c>
      <c r="AY9" s="15">
        <v>26000</v>
      </c>
      <c r="AZ9" s="15">
        <f>$AY9*$AZ$7</f>
        <v>780</v>
      </c>
      <c r="BA9" s="15">
        <f>$AY9*$BA$7</f>
        <v>1300</v>
      </c>
      <c r="BB9" s="15">
        <f>$AY9*$BB$7</f>
        <v>1820.0000000000002</v>
      </c>
      <c r="BC9" s="15">
        <f>$AZ9+$BA9+$BB9</f>
        <v>3900</v>
      </c>
      <c r="BD9" s="37">
        <f>($AY9+$BC9)</f>
        <v>29900</v>
      </c>
      <c r="BE9" s="15">
        <f>$AY9*$BE$7</f>
        <v>3120</v>
      </c>
      <c r="BF9" s="15">
        <f>$AY9*$BF$7</f>
        <v>520</v>
      </c>
      <c r="BG9" s="41">
        <f>$BC$1*$AT9</f>
        <v>866.66666666666663</v>
      </c>
      <c r="BH9" s="37">
        <f>$BE9+$BF9+$BG9</f>
        <v>4506.666666666667</v>
      </c>
      <c r="BI9" s="1"/>
      <c r="BJ9" s="15">
        <v>5</v>
      </c>
      <c r="BK9" s="15">
        <f>IF($BA$4="",$AY9/30/8*$BJ9,$BA4*$BJ9)</f>
        <v>541.66666666666663</v>
      </c>
      <c r="BL9" s="37">
        <f>($BD9-$BH9)-$BI9</f>
        <v>25393.333333333332</v>
      </c>
      <c r="BM9" s="17">
        <v>45848</v>
      </c>
      <c r="BN9" s="15" t="s">
        <v>93</v>
      </c>
    </row>
    <row r="10" spans="1:69" x14ac:dyDescent="0.25">
      <c r="A10" s="30" t="str">
        <f>$A$6&amp;IF(B10="","",COUNTA($B$9:B10)+100)</f>
        <v>SK-</v>
      </c>
      <c r="B10" s="15"/>
      <c r="C10" s="15"/>
      <c r="D10" s="15"/>
      <c r="E10" s="15"/>
      <c r="F10" s="15"/>
      <c r="G10" s="16"/>
      <c r="H10" s="16"/>
      <c r="I10" s="17"/>
      <c r="J10" s="17"/>
      <c r="K10" s="12" t="str">
        <f t="shared" ref="K10:K21" si="2">IF($J10=""," ","Emp. Resign this Company")</f>
        <v xml:space="preserve"> </v>
      </c>
      <c r="L10" s="1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5">
        <f t="shared" ref="AR10:AR21" si="3">COUNTA(M10:AQ10)</f>
        <v>0</v>
      </c>
      <c r="AS10" s="15">
        <f t="shared" ref="AS10:AS21" si="4">COUNTIF(M10:AQ10,"P")</f>
        <v>0</v>
      </c>
      <c r="AT10" s="15">
        <f t="shared" ref="AT10:AT21" si="5">COUNTIF(M10:AQ10,"A")</f>
        <v>0</v>
      </c>
      <c r="AU10" s="15">
        <f t="shared" ref="AU10:AU21" si="6">COUNTIF(M10:AQ10,"L")</f>
        <v>0</v>
      </c>
      <c r="AV10" s="15">
        <f t="shared" ref="AV10:AV21" si="7">COUNTIF(M10:AQ10,"SUN")</f>
        <v>0</v>
      </c>
      <c r="AW10" s="15">
        <f t="shared" ref="AW10:AW21" si="8">COUNTIF(M10:AQ10,"H")</f>
        <v>0</v>
      </c>
      <c r="AX10" s="15">
        <f t="shared" ref="AX10:AX21" si="9">($AR10-$AT10)-($AW10/2)-($AU10/2)</f>
        <v>0</v>
      </c>
      <c r="AY10" s="15"/>
      <c r="AZ10" s="15">
        <f t="shared" ref="AZ10:AZ21" si="10">$AY10*$AZ$7</f>
        <v>0</v>
      </c>
      <c r="BA10" s="15">
        <f t="shared" ref="BA10:BA21" si="11">$AY10*$BA$7</f>
        <v>0</v>
      </c>
      <c r="BB10" s="15">
        <f t="shared" ref="BB10:BB21" si="12">$AY10*$BB$7</f>
        <v>0</v>
      </c>
      <c r="BC10" s="15">
        <f t="shared" ref="BC10:BC21" si="13">$AZ10+$BA10+$BB10</f>
        <v>0</v>
      </c>
      <c r="BD10" s="37">
        <f t="shared" ref="BD10:BD21" si="14">($AY10+$BC10)</f>
        <v>0</v>
      </c>
      <c r="BE10" s="15">
        <f t="shared" ref="BE10:BE21" si="15">$AY10*$BE$7</f>
        <v>0</v>
      </c>
      <c r="BF10" s="15">
        <f t="shared" ref="BF10:BF21" si="16">$AY10*$BF$7</f>
        <v>0</v>
      </c>
      <c r="BG10" s="41">
        <f t="shared" ref="BG10:BG21" si="17">$BC$1*$AT10</f>
        <v>0</v>
      </c>
      <c r="BH10" s="37">
        <f t="shared" ref="BH10:BH21" si="18">$BE10+$BF10+$BG10</f>
        <v>0</v>
      </c>
      <c r="BI10" s="1"/>
      <c r="BJ10" s="15"/>
      <c r="BK10" s="15">
        <f t="shared" ref="BK10:BK21" si="19">IF($BA$4="",$AY10/30/8*$BJ10,$BA5*$BJ10)</f>
        <v>0</v>
      </c>
      <c r="BL10" s="37">
        <f t="shared" ref="BL10:BL21" si="20">($BD10-$BH10)-$BI10</f>
        <v>0</v>
      </c>
      <c r="BM10" s="15"/>
      <c r="BN10" s="15"/>
    </row>
    <row r="11" spans="1:69" x14ac:dyDescent="0.25">
      <c r="A11" s="30" t="str">
        <f>$A$6&amp;IF(B11="","",COUNTA($B$9:B11)+100)</f>
        <v>SK-</v>
      </c>
      <c r="B11" s="15"/>
      <c r="C11" s="15"/>
      <c r="D11" s="15"/>
      <c r="E11" s="15"/>
      <c r="F11" s="15"/>
      <c r="G11" s="16"/>
      <c r="H11" s="16"/>
      <c r="I11" s="17"/>
      <c r="J11" s="15"/>
      <c r="K11" s="12" t="str">
        <f t="shared" si="2"/>
        <v xml:space="preserve"> </v>
      </c>
      <c r="L11" s="1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5">
        <f t="shared" si="3"/>
        <v>0</v>
      </c>
      <c r="AS11" s="15">
        <f t="shared" si="4"/>
        <v>0</v>
      </c>
      <c r="AT11" s="15">
        <f t="shared" si="5"/>
        <v>0</v>
      </c>
      <c r="AU11" s="15">
        <f t="shared" si="6"/>
        <v>0</v>
      </c>
      <c r="AV11" s="15">
        <f t="shared" si="7"/>
        <v>0</v>
      </c>
      <c r="AW11" s="15">
        <f t="shared" si="8"/>
        <v>0</v>
      </c>
      <c r="AX11" s="15">
        <f t="shared" si="9"/>
        <v>0</v>
      </c>
      <c r="AY11" s="15"/>
      <c r="AZ11" s="15">
        <f t="shared" si="10"/>
        <v>0</v>
      </c>
      <c r="BA11" s="15">
        <f t="shared" si="11"/>
        <v>0</v>
      </c>
      <c r="BB11" s="15">
        <f t="shared" si="12"/>
        <v>0</v>
      </c>
      <c r="BC11" s="15">
        <f t="shared" si="13"/>
        <v>0</v>
      </c>
      <c r="BD11" s="37">
        <f t="shared" si="14"/>
        <v>0</v>
      </c>
      <c r="BE11" s="15">
        <f t="shared" si="15"/>
        <v>0</v>
      </c>
      <c r="BF11" s="15">
        <f t="shared" si="16"/>
        <v>0</v>
      </c>
      <c r="BG11" s="41">
        <f t="shared" si="17"/>
        <v>0</v>
      </c>
      <c r="BH11" s="37">
        <f t="shared" si="18"/>
        <v>0</v>
      </c>
      <c r="BI11" s="1"/>
      <c r="BJ11" s="15"/>
      <c r="BK11" s="15">
        <f t="shared" si="19"/>
        <v>0</v>
      </c>
      <c r="BL11" s="37">
        <f t="shared" si="20"/>
        <v>0</v>
      </c>
      <c r="BM11" s="15"/>
      <c r="BN11" s="15"/>
    </row>
    <row r="12" spans="1:69" x14ac:dyDescent="0.25">
      <c r="A12" s="30" t="str">
        <f>$A$6&amp;IF(B12="","",COUNTA($B$9:B12)+100)</f>
        <v>SK-</v>
      </c>
      <c r="B12" s="15"/>
      <c r="C12" s="15"/>
      <c r="D12" s="15"/>
      <c r="E12" s="15"/>
      <c r="F12" s="15"/>
      <c r="G12" s="16"/>
      <c r="H12" s="16"/>
      <c r="I12" s="17"/>
      <c r="J12" s="15"/>
      <c r="K12" s="12" t="str">
        <f t="shared" si="2"/>
        <v xml:space="preserve"> </v>
      </c>
      <c r="L12" s="1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5">
        <f t="shared" si="3"/>
        <v>0</v>
      </c>
      <c r="AS12" s="15">
        <f t="shared" si="4"/>
        <v>0</v>
      </c>
      <c r="AT12" s="15">
        <f t="shared" si="5"/>
        <v>0</v>
      </c>
      <c r="AU12" s="15">
        <f t="shared" si="6"/>
        <v>0</v>
      </c>
      <c r="AV12" s="15">
        <f t="shared" si="7"/>
        <v>0</v>
      </c>
      <c r="AW12" s="15">
        <f>COUNTIF(M12:AQ12,"H")</f>
        <v>0</v>
      </c>
      <c r="AX12" s="15">
        <f t="shared" si="9"/>
        <v>0</v>
      </c>
      <c r="AY12" s="15"/>
      <c r="AZ12" s="15">
        <f t="shared" si="10"/>
        <v>0</v>
      </c>
      <c r="BA12" s="15">
        <f t="shared" si="11"/>
        <v>0</v>
      </c>
      <c r="BB12" s="15">
        <f t="shared" si="12"/>
        <v>0</v>
      </c>
      <c r="BC12" s="15">
        <f t="shared" si="13"/>
        <v>0</v>
      </c>
      <c r="BD12" s="37">
        <f t="shared" si="14"/>
        <v>0</v>
      </c>
      <c r="BE12" s="15">
        <f t="shared" si="15"/>
        <v>0</v>
      </c>
      <c r="BF12" s="15">
        <f t="shared" si="16"/>
        <v>0</v>
      </c>
      <c r="BG12" s="41">
        <f t="shared" si="17"/>
        <v>0</v>
      </c>
      <c r="BH12" s="37">
        <f t="shared" si="18"/>
        <v>0</v>
      </c>
      <c r="BI12" s="1"/>
      <c r="BJ12" s="15"/>
      <c r="BK12" s="15">
        <f t="shared" si="19"/>
        <v>0</v>
      </c>
      <c r="BL12" s="37">
        <f t="shared" si="20"/>
        <v>0</v>
      </c>
      <c r="BM12" s="15"/>
      <c r="BN12" s="15"/>
    </row>
    <row r="13" spans="1:69" x14ac:dyDescent="0.25">
      <c r="A13" s="30" t="str">
        <f>$A$6&amp;IF(B13="","",COUNTA($B$9:B13)+100)</f>
        <v>SK-</v>
      </c>
      <c r="B13" s="15"/>
      <c r="C13" s="15"/>
      <c r="D13" s="15"/>
      <c r="E13" s="15"/>
      <c r="F13" s="15"/>
      <c r="G13" s="16"/>
      <c r="H13" s="16"/>
      <c r="I13" s="17"/>
      <c r="J13" s="17"/>
      <c r="K13" s="12" t="str">
        <f t="shared" si="2"/>
        <v xml:space="preserve"> </v>
      </c>
      <c r="L13" s="1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5">
        <f t="shared" si="3"/>
        <v>0</v>
      </c>
      <c r="AS13" s="15">
        <f t="shared" si="4"/>
        <v>0</v>
      </c>
      <c r="AT13" s="15">
        <f t="shared" si="5"/>
        <v>0</v>
      </c>
      <c r="AU13" s="15">
        <f t="shared" si="6"/>
        <v>0</v>
      </c>
      <c r="AV13" s="15">
        <f t="shared" si="7"/>
        <v>0</v>
      </c>
      <c r="AW13" s="15">
        <f t="shared" si="8"/>
        <v>0</v>
      </c>
      <c r="AX13" s="15">
        <f t="shared" si="9"/>
        <v>0</v>
      </c>
      <c r="AY13" s="15"/>
      <c r="AZ13" s="15">
        <f t="shared" si="10"/>
        <v>0</v>
      </c>
      <c r="BA13" s="15">
        <f t="shared" si="11"/>
        <v>0</v>
      </c>
      <c r="BB13" s="15">
        <f t="shared" si="12"/>
        <v>0</v>
      </c>
      <c r="BC13" s="15">
        <f t="shared" si="13"/>
        <v>0</v>
      </c>
      <c r="BD13" s="37">
        <f t="shared" si="14"/>
        <v>0</v>
      </c>
      <c r="BE13" s="15">
        <f t="shared" si="15"/>
        <v>0</v>
      </c>
      <c r="BF13" s="15">
        <f t="shared" si="16"/>
        <v>0</v>
      </c>
      <c r="BG13" s="41">
        <f t="shared" si="17"/>
        <v>0</v>
      </c>
      <c r="BH13" s="37">
        <f t="shared" si="18"/>
        <v>0</v>
      </c>
      <c r="BI13" s="1"/>
      <c r="BJ13" s="15"/>
      <c r="BK13" s="15">
        <f t="shared" si="19"/>
        <v>0</v>
      </c>
      <c r="BL13" s="37">
        <f t="shared" si="20"/>
        <v>0</v>
      </c>
      <c r="BM13" s="15"/>
      <c r="BN13" s="15"/>
    </row>
    <row r="14" spans="1:69" x14ac:dyDescent="0.25">
      <c r="A14" s="30" t="str">
        <f>$A$6&amp;IF(B14="","",COUNTA($B$9:B14)+100)</f>
        <v>SK-</v>
      </c>
      <c r="B14" s="15"/>
      <c r="C14" s="15"/>
      <c r="D14" s="15"/>
      <c r="E14" s="15"/>
      <c r="F14" s="15"/>
      <c r="G14" s="16"/>
      <c r="H14" s="16"/>
      <c r="I14" s="17"/>
      <c r="J14" s="15"/>
      <c r="K14" s="12" t="str">
        <f t="shared" si="2"/>
        <v xml:space="preserve"> </v>
      </c>
      <c r="L14" s="1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5">
        <f t="shared" si="3"/>
        <v>0</v>
      </c>
      <c r="AS14" s="15">
        <f t="shared" si="4"/>
        <v>0</v>
      </c>
      <c r="AT14" s="15">
        <f t="shared" si="5"/>
        <v>0</v>
      </c>
      <c r="AU14" s="15">
        <f t="shared" si="6"/>
        <v>0</v>
      </c>
      <c r="AV14" s="15">
        <f t="shared" si="7"/>
        <v>0</v>
      </c>
      <c r="AW14" s="15">
        <f t="shared" si="8"/>
        <v>0</v>
      </c>
      <c r="AX14" s="15">
        <f t="shared" si="9"/>
        <v>0</v>
      </c>
      <c r="AY14" s="15"/>
      <c r="AZ14" s="15">
        <f t="shared" si="10"/>
        <v>0</v>
      </c>
      <c r="BA14" s="15">
        <f t="shared" si="11"/>
        <v>0</v>
      </c>
      <c r="BB14" s="15">
        <f t="shared" si="12"/>
        <v>0</v>
      </c>
      <c r="BC14" s="15">
        <f t="shared" si="13"/>
        <v>0</v>
      </c>
      <c r="BD14" s="37">
        <f t="shared" si="14"/>
        <v>0</v>
      </c>
      <c r="BE14" s="15">
        <f t="shared" si="15"/>
        <v>0</v>
      </c>
      <c r="BF14" s="15">
        <f t="shared" si="16"/>
        <v>0</v>
      </c>
      <c r="BG14" s="41">
        <f t="shared" si="17"/>
        <v>0</v>
      </c>
      <c r="BH14" s="37">
        <f t="shared" si="18"/>
        <v>0</v>
      </c>
      <c r="BI14" s="1"/>
      <c r="BJ14" s="15"/>
      <c r="BK14" s="15">
        <f t="shared" si="19"/>
        <v>0</v>
      </c>
      <c r="BL14" s="37">
        <f t="shared" si="20"/>
        <v>0</v>
      </c>
      <c r="BM14" s="15"/>
      <c r="BN14" s="15"/>
    </row>
    <row r="15" spans="1:69" x14ac:dyDescent="0.25">
      <c r="A15" s="30" t="str">
        <f>$A$6&amp;IF(B15="","",COUNTA($B$9:B15)+100)</f>
        <v>SK-</v>
      </c>
      <c r="B15" s="15"/>
      <c r="C15" s="15"/>
      <c r="D15" s="15"/>
      <c r="E15" s="15"/>
      <c r="F15" s="15"/>
      <c r="G15" s="16"/>
      <c r="H15" s="16"/>
      <c r="I15" s="17"/>
      <c r="J15" s="15"/>
      <c r="K15" s="12" t="str">
        <f t="shared" si="2"/>
        <v xml:space="preserve"> </v>
      </c>
      <c r="L15" s="1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5">
        <f t="shared" si="3"/>
        <v>0</v>
      </c>
      <c r="AS15" s="15">
        <f t="shared" si="4"/>
        <v>0</v>
      </c>
      <c r="AT15" s="15">
        <f t="shared" si="5"/>
        <v>0</v>
      </c>
      <c r="AU15" s="15">
        <f t="shared" si="6"/>
        <v>0</v>
      </c>
      <c r="AV15" s="15">
        <f t="shared" si="7"/>
        <v>0</v>
      </c>
      <c r="AW15" s="15">
        <f t="shared" si="8"/>
        <v>0</v>
      </c>
      <c r="AX15" s="15">
        <f t="shared" si="9"/>
        <v>0</v>
      </c>
      <c r="AY15" s="15"/>
      <c r="AZ15" s="15">
        <f t="shared" si="10"/>
        <v>0</v>
      </c>
      <c r="BA15" s="15">
        <f t="shared" si="11"/>
        <v>0</v>
      </c>
      <c r="BB15" s="15">
        <f t="shared" si="12"/>
        <v>0</v>
      </c>
      <c r="BC15" s="15">
        <f t="shared" si="13"/>
        <v>0</v>
      </c>
      <c r="BD15" s="37">
        <f t="shared" si="14"/>
        <v>0</v>
      </c>
      <c r="BE15" s="15">
        <f t="shared" si="15"/>
        <v>0</v>
      </c>
      <c r="BF15" s="15">
        <f t="shared" si="16"/>
        <v>0</v>
      </c>
      <c r="BG15" s="41">
        <f t="shared" si="17"/>
        <v>0</v>
      </c>
      <c r="BH15" s="37">
        <f t="shared" si="18"/>
        <v>0</v>
      </c>
      <c r="BI15" s="1"/>
      <c r="BJ15" s="15"/>
      <c r="BK15" s="15">
        <f t="shared" si="19"/>
        <v>0</v>
      </c>
      <c r="BL15" s="37">
        <f t="shared" si="20"/>
        <v>0</v>
      </c>
      <c r="BM15" s="15"/>
      <c r="BN15" s="15"/>
    </row>
    <row r="16" spans="1:69" x14ac:dyDescent="0.25">
      <c r="A16" s="30" t="str">
        <f>$A$6&amp;IF(B16="","",COUNTA($B$9:B16)+100)</f>
        <v>SK-</v>
      </c>
      <c r="B16" s="15"/>
      <c r="C16" s="15"/>
      <c r="D16" s="15"/>
      <c r="E16" s="15"/>
      <c r="F16" s="15"/>
      <c r="G16" s="16"/>
      <c r="H16" s="16"/>
      <c r="I16" s="17"/>
      <c r="J16" s="15"/>
      <c r="K16" s="12" t="str">
        <f t="shared" si="2"/>
        <v xml:space="preserve"> </v>
      </c>
      <c r="L16" s="1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5">
        <f t="shared" si="3"/>
        <v>0</v>
      </c>
      <c r="AS16" s="15">
        <f t="shared" si="4"/>
        <v>0</v>
      </c>
      <c r="AT16" s="15">
        <f t="shared" si="5"/>
        <v>0</v>
      </c>
      <c r="AU16" s="15">
        <f t="shared" si="6"/>
        <v>0</v>
      </c>
      <c r="AV16" s="15">
        <f t="shared" si="7"/>
        <v>0</v>
      </c>
      <c r="AW16" s="15">
        <f t="shared" si="8"/>
        <v>0</v>
      </c>
      <c r="AX16" s="15">
        <f t="shared" si="9"/>
        <v>0</v>
      </c>
      <c r="AY16" s="15"/>
      <c r="AZ16" s="15">
        <f t="shared" si="10"/>
        <v>0</v>
      </c>
      <c r="BA16" s="15">
        <f t="shared" si="11"/>
        <v>0</v>
      </c>
      <c r="BB16" s="15">
        <f t="shared" si="12"/>
        <v>0</v>
      </c>
      <c r="BC16" s="15">
        <f t="shared" si="13"/>
        <v>0</v>
      </c>
      <c r="BD16" s="37">
        <f t="shared" si="14"/>
        <v>0</v>
      </c>
      <c r="BE16" s="15">
        <f t="shared" si="15"/>
        <v>0</v>
      </c>
      <c r="BF16" s="15">
        <f t="shared" si="16"/>
        <v>0</v>
      </c>
      <c r="BG16" s="41">
        <f t="shared" si="17"/>
        <v>0</v>
      </c>
      <c r="BH16" s="37">
        <f t="shared" si="18"/>
        <v>0</v>
      </c>
      <c r="BI16" s="1"/>
      <c r="BJ16" s="15"/>
      <c r="BK16" s="15">
        <f t="shared" si="19"/>
        <v>0</v>
      </c>
      <c r="BL16" s="37">
        <f t="shared" si="20"/>
        <v>0</v>
      </c>
      <c r="BM16" s="15"/>
      <c r="BN16" s="15"/>
    </row>
    <row r="17" spans="1:66" x14ac:dyDescent="0.25">
      <c r="A17" s="30" t="str">
        <f>$A$6&amp;IF(B17="","",COUNTA($B$9:B17)+100)</f>
        <v>SK-</v>
      </c>
      <c r="B17" s="15"/>
      <c r="C17" s="15"/>
      <c r="D17" s="15"/>
      <c r="E17" s="15"/>
      <c r="F17" s="15"/>
      <c r="G17" s="16"/>
      <c r="H17" s="16"/>
      <c r="I17" s="17"/>
      <c r="J17" s="15"/>
      <c r="K17" s="12" t="str">
        <f t="shared" si="2"/>
        <v xml:space="preserve"> </v>
      </c>
      <c r="L17" s="1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5">
        <f t="shared" si="3"/>
        <v>0</v>
      </c>
      <c r="AS17" s="15">
        <f t="shared" si="4"/>
        <v>0</v>
      </c>
      <c r="AT17" s="15">
        <f t="shared" si="5"/>
        <v>0</v>
      </c>
      <c r="AU17" s="15">
        <f t="shared" si="6"/>
        <v>0</v>
      </c>
      <c r="AV17" s="15">
        <f t="shared" si="7"/>
        <v>0</v>
      </c>
      <c r="AW17" s="15">
        <f t="shared" si="8"/>
        <v>0</v>
      </c>
      <c r="AX17" s="15">
        <f t="shared" si="9"/>
        <v>0</v>
      </c>
      <c r="AY17" s="15"/>
      <c r="AZ17" s="15">
        <f t="shared" si="10"/>
        <v>0</v>
      </c>
      <c r="BA17" s="15">
        <f t="shared" si="11"/>
        <v>0</v>
      </c>
      <c r="BB17" s="15">
        <f t="shared" si="12"/>
        <v>0</v>
      </c>
      <c r="BC17" s="15">
        <f t="shared" si="13"/>
        <v>0</v>
      </c>
      <c r="BD17" s="37">
        <f t="shared" si="14"/>
        <v>0</v>
      </c>
      <c r="BE17" s="15">
        <f t="shared" si="15"/>
        <v>0</v>
      </c>
      <c r="BF17" s="15">
        <f t="shared" si="16"/>
        <v>0</v>
      </c>
      <c r="BG17" s="41">
        <f t="shared" si="17"/>
        <v>0</v>
      </c>
      <c r="BH17" s="37">
        <f t="shared" si="18"/>
        <v>0</v>
      </c>
      <c r="BI17" s="1"/>
      <c r="BJ17" s="15"/>
      <c r="BK17" s="15">
        <f t="shared" si="19"/>
        <v>0</v>
      </c>
      <c r="BL17" s="37">
        <f t="shared" si="20"/>
        <v>0</v>
      </c>
      <c r="BM17" s="15"/>
      <c r="BN17" s="15"/>
    </row>
    <row r="18" spans="1:66" x14ac:dyDescent="0.25">
      <c r="A18" s="30" t="str">
        <f>$A$6&amp;IF(B18="","",COUNTA($B$9:B18)+100)</f>
        <v>SK-</v>
      </c>
      <c r="B18" s="15"/>
      <c r="C18" s="15"/>
      <c r="D18" s="15"/>
      <c r="E18" s="15"/>
      <c r="F18" s="15"/>
      <c r="G18" s="16"/>
      <c r="H18" s="16"/>
      <c r="I18" s="17"/>
      <c r="J18" s="15"/>
      <c r="K18" s="12" t="str">
        <f t="shared" si="2"/>
        <v xml:space="preserve"> </v>
      </c>
      <c r="L18" s="1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5">
        <f t="shared" si="3"/>
        <v>0</v>
      </c>
      <c r="AS18" s="15">
        <f t="shared" si="4"/>
        <v>0</v>
      </c>
      <c r="AT18" s="15">
        <f t="shared" si="5"/>
        <v>0</v>
      </c>
      <c r="AU18" s="15">
        <f t="shared" si="6"/>
        <v>0</v>
      </c>
      <c r="AV18" s="15">
        <f t="shared" si="7"/>
        <v>0</v>
      </c>
      <c r="AW18" s="15">
        <f t="shared" si="8"/>
        <v>0</v>
      </c>
      <c r="AX18" s="15">
        <f t="shared" si="9"/>
        <v>0</v>
      </c>
      <c r="AY18" s="15"/>
      <c r="AZ18" s="15">
        <f t="shared" si="10"/>
        <v>0</v>
      </c>
      <c r="BA18" s="15">
        <f t="shared" si="11"/>
        <v>0</v>
      </c>
      <c r="BB18" s="15">
        <f t="shared" si="12"/>
        <v>0</v>
      </c>
      <c r="BC18" s="15">
        <f t="shared" si="13"/>
        <v>0</v>
      </c>
      <c r="BD18" s="37">
        <f t="shared" si="14"/>
        <v>0</v>
      </c>
      <c r="BE18" s="15">
        <f t="shared" si="15"/>
        <v>0</v>
      </c>
      <c r="BF18" s="15">
        <f t="shared" si="16"/>
        <v>0</v>
      </c>
      <c r="BG18" s="41">
        <f t="shared" si="17"/>
        <v>0</v>
      </c>
      <c r="BH18" s="37">
        <f t="shared" si="18"/>
        <v>0</v>
      </c>
      <c r="BI18" s="1"/>
      <c r="BJ18" s="15"/>
      <c r="BK18" s="15">
        <f t="shared" si="19"/>
        <v>0</v>
      </c>
      <c r="BL18" s="37">
        <f t="shared" si="20"/>
        <v>0</v>
      </c>
      <c r="BM18" s="15"/>
      <c r="BN18" s="15"/>
    </row>
    <row r="19" spans="1:66" x14ac:dyDescent="0.25">
      <c r="A19" s="30" t="str">
        <f>$A$6&amp;IF(B19="","",COUNTA($B$9:B19)+100)</f>
        <v>SK-</v>
      </c>
      <c r="B19" s="15"/>
      <c r="C19" s="15"/>
      <c r="D19" s="15"/>
      <c r="E19" s="15"/>
      <c r="F19" s="15"/>
      <c r="G19" s="16"/>
      <c r="H19" s="16"/>
      <c r="I19" s="17"/>
      <c r="J19" s="15"/>
      <c r="K19" s="12" t="str">
        <f t="shared" si="2"/>
        <v xml:space="preserve"> </v>
      </c>
      <c r="L19" s="1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5">
        <f t="shared" si="3"/>
        <v>0</v>
      </c>
      <c r="AS19" s="15">
        <f t="shared" si="4"/>
        <v>0</v>
      </c>
      <c r="AT19" s="15">
        <f t="shared" si="5"/>
        <v>0</v>
      </c>
      <c r="AU19" s="15">
        <f t="shared" si="6"/>
        <v>0</v>
      </c>
      <c r="AV19" s="15">
        <f t="shared" si="7"/>
        <v>0</v>
      </c>
      <c r="AW19" s="15">
        <f t="shared" si="8"/>
        <v>0</v>
      </c>
      <c r="AX19" s="15">
        <f t="shared" si="9"/>
        <v>0</v>
      </c>
      <c r="AY19" s="15"/>
      <c r="AZ19" s="15">
        <f t="shared" si="10"/>
        <v>0</v>
      </c>
      <c r="BA19" s="15">
        <f t="shared" si="11"/>
        <v>0</v>
      </c>
      <c r="BB19" s="15">
        <f t="shared" si="12"/>
        <v>0</v>
      </c>
      <c r="BC19" s="15">
        <f t="shared" si="13"/>
        <v>0</v>
      </c>
      <c r="BD19" s="37">
        <f t="shared" si="14"/>
        <v>0</v>
      </c>
      <c r="BE19" s="15">
        <f t="shared" si="15"/>
        <v>0</v>
      </c>
      <c r="BF19" s="15">
        <f t="shared" si="16"/>
        <v>0</v>
      </c>
      <c r="BG19" s="41">
        <f t="shared" si="17"/>
        <v>0</v>
      </c>
      <c r="BH19" s="37">
        <f t="shared" si="18"/>
        <v>0</v>
      </c>
      <c r="BI19" s="1"/>
      <c r="BJ19" s="15"/>
      <c r="BK19" s="15">
        <f t="shared" si="19"/>
        <v>0</v>
      </c>
      <c r="BL19" s="37">
        <f t="shared" si="20"/>
        <v>0</v>
      </c>
      <c r="BM19" s="15"/>
      <c r="BN19" s="15"/>
    </row>
    <row r="20" spans="1:66" x14ac:dyDescent="0.25">
      <c r="A20" s="30" t="str">
        <f>$A$6&amp;IF(B20="","",COUNTA($B$9:B20)+100)</f>
        <v>SK-</v>
      </c>
      <c r="B20" s="15"/>
      <c r="C20" s="15"/>
      <c r="D20" s="15"/>
      <c r="E20" s="15"/>
      <c r="F20" s="15"/>
      <c r="G20" s="16"/>
      <c r="H20" s="16"/>
      <c r="I20" s="17"/>
      <c r="J20" s="15"/>
      <c r="K20" s="12" t="str">
        <f t="shared" si="2"/>
        <v xml:space="preserve"> </v>
      </c>
      <c r="L20" s="1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5">
        <f t="shared" si="3"/>
        <v>0</v>
      </c>
      <c r="AS20" s="15">
        <f t="shared" si="4"/>
        <v>0</v>
      </c>
      <c r="AT20" s="15">
        <f t="shared" si="5"/>
        <v>0</v>
      </c>
      <c r="AU20" s="15">
        <f t="shared" si="6"/>
        <v>0</v>
      </c>
      <c r="AV20" s="15">
        <f t="shared" si="7"/>
        <v>0</v>
      </c>
      <c r="AW20" s="15">
        <f t="shared" si="8"/>
        <v>0</v>
      </c>
      <c r="AX20" s="15">
        <f t="shared" si="9"/>
        <v>0</v>
      </c>
      <c r="AY20" s="15"/>
      <c r="AZ20" s="15">
        <f t="shared" si="10"/>
        <v>0</v>
      </c>
      <c r="BA20" s="15">
        <f t="shared" si="11"/>
        <v>0</v>
      </c>
      <c r="BB20" s="15">
        <f t="shared" si="12"/>
        <v>0</v>
      </c>
      <c r="BC20" s="15">
        <f t="shared" si="13"/>
        <v>0</v>
      </c>
      <c r="BD20" s="37">
        <f t="shared" si="14"/>
        <v>0</v>
      </c>
      <c r="BE20" s="15">
        <f t="shared" si="15"/>
        <v>0</v>
      </c>
      <c r="BF20" s="15">
        <f t="shared" si="16"/>
        <v>0</v>
      </c>
      <c r="BG20" s="41">
        <f t="shared" si="17"/>
        <v>0</v>
      </c>
      <c r="BH20" s="37">
        <f t="shared" si="18"/>
        <v>0</v>
      </c>
      <c r="BI20" s="1"/>
      <c r="BJ20" s="15"/>
      <c r="BK20" s="15">
        <f t="shared" si="19"/>
        <v>0</v>
      </c>
      <c r="BL20" s="37">
        <f t="shared" si="20"/>
        <v>0</v>
      </c>
      <c r="BM20" s="15"/>
      <c r="BN20" s="15"/>
    </row>
    <row r="21" spans="1:66" x14ac:dyDescent="0.25">
      <c r="A21" s="30" t="str">
        <f>$A$6&amp;IF(B21="","",COUNTA($B$9:B21)+100)</f>
        <v>SK-</v>
      </c>
      <c r="B21" s="15"/>
      <c r="C21" s="15"/>
      <c r="D21" s="15"/>
      <c r="E21" s="15"/>
      <c r="F21" s="15"/>
      <c r="G21" s="16"/>
      <c r="H21" s="16"/>
      <c r="I21" s="17"/>
      <c r="J21" s="15"/>
      <c r="K21" s="12" t="str">
        <f t="shared" si="2"/>
        <v xml:space="preserve"> </v>
      </c>
      <c r="L21" s="1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5">
        <f t="shared" si="3"/>
        <v>0</v>
      </c>
      <c r="AS21" s="15">
        <f t="shared" si="4"/>
        <v>0</v>
      </c>
      <c r="AT21" s="15">
        <f t="shared" si="5"/>
        <v>0</v>
      </c>
      <c r="AU21" s="15">
        <f t="shared" si="6"/>
        <v>0</v>
      </c>
      <c r="AV21" s="15">
        <f t="shared" si="7"/>
        <v>0</v>
      </c>
      <c r="AW21" s="15">
        <f t="shared" si="8"/>
        <v>0</v>
      </c>
      <c r="AX21" s="15">
        <f t="shared" si="9"/>
        <v>0</v>
      </c>
      <c r="AY21" s="15"/>
      <c r="AZ21" s="15">
        <f t="shared" si="10"/>
        <v>0</v>
      </c>
      <c r="BA21" s="15">
        <f t="shared" si="11"/>
        <v>0</v>
      </c>
      <c r="BB21" s="15">
        <f t="shared" si="12"/>
        <v>0</v>
      </c>
      <c r="BC21" s="15">
        <f t="shared" si="13"/>
        <v>0</v>
      </c>
      <c r="BD21" s="37">
        <f t="shared" si="14"/>
        <v>0</v>
      </c>
      <c r="BE21" s="15">
        <f t="shared" si="15"/>
        <v>0</v>
      </c>
      <c r="BF21" s="15">
        <f t="shared" si="16"/>
        <v>0</v>
      </c>
      <c r="BG21" s="41">
        <f t="shared" si="17"/>
        <v>0</v>
      </c>
      <c r="BH21" s="37">
        <f t="shared" si="18"/>
        <v>0</v>
      </c>
      <c r="BI21" s="1"/>
      <c r="BJ21" s="15"/>
      <c r="BK21" s="15">
        <f t="shared" si="19"/>
        <v>0</v>
      </c>
      <c r="BL21" s="37">
        <f t="shared" si="20"/>
        <v>0</v>
      </c>
      <c r="BM21" s="15"/>
      <c r="BN21" s="15"/>
    </row>
    <row r="22" spans="1:66" x14ac:dyDescent="0.25">
      <c r="AX22" s="10"/>
      <c r="AY22" s="10"/>
      <c r="AZ22" s="10"/>
      <c r="BA22" s="10"/>
      <c r="BB22" s="10"/>
      <c r="BC22" s="10"/>
      <c r="BE22" s="10"/>
    </row>
    <row r="23" spans="1:66" x14ac:dyDescent="0.25">
      <c r="AX23" s="10"/>
      <c r="AY23" s="10"/>
      <c r="AZ23" s="10"/>
      <c r="BA23" s="10"/>
      <c r="BB23" s="10"/>
      <c r="BC23" s="10"/>
      <c r="BD23" s="10"/>
    </row>
    <row r="24" spans="1:66" x14ac:dyDescent="0.25">
      <c r="AX24" s="10"/>
      <c r="AY24" s="10"/>
      <c r="AZ24" s="10"/>
      <c r="BA24" s="10"/>
      <c r="BB24" s="10"/>
      <c r="BC24" s="10"/>
      <c r="BD24" s="10"/>
    </row>
  </sheetData>
  <mergeCells count="3">
    <mergeCell ref="AZ6:BB6"/>
    <mergeCell ref="A1:AR2"/>
    <mergeCell ref="BE6:BG6"/>
  </mergeCells>
  <conditionalFormatting sqref="A9:A21">
    <cfRule type="expression" dxfId="155" priority="13">
      <formula>A9="SK-"</formula>
    </cfRule>
  </conditionalFormatting>
  <conditionalFormatting sqref="K9:K21">
    <cfRule type="expression" dxfId="154" priority="15">
      <formula>K9:K21="Emp. Resign this Company"</formula>
    </cfRule>
  </conditionalFormatting>
  <conditionalFormatting sqref="M9:AQ21">
    <cfRule type="expression" dxfId="153" priority="8">
      <formula>M9="P"</formula>
    </cfRule>
    <cfRule type="expression" dxfId="152" priority="9">
      <formula>M9="L"</formula>
    </cfRule>
    <cfRule type="expression" dxfId="151" priority="10">
      <formula>M9="H"</formula>
    </cfRule>
    <cfRule type="expression" dxfId="150" priority="11">
      <formula>M9="A"</formula>
    </cfRule>
    <cfRule type="expression" dxfId="149" priority="19">
      <formula>M$7="sun"</formula>
    </cfRule>
  </conditionalFormatting>
  <conditionalFormatting sqref="AO8">
    <cfRule type="expression" dxfId="148" priority="18">
      <formula>$AO$8=DATEVLUE(1/29/2024)</formula>
    </cfRule>
  </conditionalFormatting>
  <conditionalFormatting sqref="AP8">
    <cfRule type="expression" dxfId="147" priority="17">
      <formula>$AP$8=DATEVALUE("2/30/2024")</formula>
    </cfRule>
  </conditionalFormatting>
  <conditionalFormatting sqref="AR9:BL21">
    <cfRule type="expression" dxfId="146" priority="5">
      <formula>AR9=0</formula>
    </cfRule>
  </conditionalFormatting>
  <conditionalFormatting sqref="BM9:BN21">
    <cfRule type="expression" dxfId="145" priority="1">
      <formula>$BN9="Process"</formula>
    </cfRule>
    <cfRule type="expression" dxfId="144" priority="2">
      <formula>$BN9="Pending"</formula>
    </cfRule>
    <cfRule type="expression" dxfId="143" priority="3">
      <formula>$BN9="done"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'data sheet'!$A$2:$A$14</xm:f>
          </x14:formula1>
          <xm:sqref>B9:B21</xm:sqref>
        </x14:dataValidation>
        <x14:dataValidation type="list" allowBlank="1" showInputMessage="1" showErrorMessage="1">
          <x14:formula1>
            <xm:f>'data sheet'!$B$2:$B$6</xm:f>
          </x14:formula1>
          <xm:sqref>C9:C21</xm:sqref>
        </x14:dataValidation>
        <x14:dataValidation type="list" allowBlank="1" showInputMessage="1" showErrorMessage="1">
          <x14:formula1>
            <xm:f>'data sheet'!$C$2:$C$9</xm:f>
          </x14:formula1>
          <xm:sqref>D9:D21</xm:sqref>
        </x14:dataValidation>
        <x14:dataValidation type="list" allowBlank="1" showInputMessage="1" showErrorMessage="1">
          <x14:formula1>
            <xm:f>'data sheet'!$P$1:$P$99</xm:f>
          </x14:formula1>
          <xm:sqref>M5</xm:sqref>
        </x14:dataValidation>
        <x14:dataValidation type="list" allowBlank="1" showInputMessage="1" showErrorMessage="1">
          <x14:formula1>
            <xm:f>'data sheet'!$Q$1:$Q$12</xm:f>
          </x14:formula1>
          <xm:sqref>L5</xm:sqref>
        </x14:dataValidation>
        <x14:dataValidation type="list" allowBlank="1" showInputMessage="1" showErrorMessage="1">
          <x14:formula1>
            <xm:f>'data sheet'!$D$2:$D$4</xm:f>
          </x14:formula1>
          <xm:sqref>BN9:BN21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21"/>
  <sheetViews>
    <sheetView zoomScaleNormal="100" workbookViewId="0">
      <selection activeCell="M5" sqref="M5"/>
    </sheetView>
  </sheetViews>
  <sheetFormatPr defaultRowHeight="15" x14ac:dyDescent="0.25"/>
  <cols>
    <col min="13" max="13" width="10.85546875" customWidth="1"/>
    <col min="16" max="16" width="12.140625" customWidth="1"/>
    <col min="62" max="62" width="14.28515625" bestFit="1" customWidth="1"/>
  </cols>
  <sheetData>
    <row r="1" spans="1:66" ht="30" customHeight="1" x14ac:dyDescent="0.25">
      <c r="A1" s="49" t="str">
        <f>"Attendance for"&amp;" "&amp;TEXT(P4,"mmmm yyyy")&amp;" "&amp;"Month"</f>
        <v>Attendance for February 2025 Month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BB1" s="15"/>
      <c r="BC1" s="42">
        <f>$AY$9/30</f>
        <v>0</v>
      </c>
      <c r="BD1" s="39">
        <f>BC1*30</f>
        <v>0</v>
      </c>
      <c r="BE1" s="39"/>
      <c r="BF1" s="39"/>
    </row>
    <row r="2" spans="1:66" ht="30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X2" s="23" t="s">
        <v>87</v>
      </c>
      <c r="AY2" s="24" t="s">
        <v>40</v>
      </c>
      <c r="AZ2" s="36" t="s">
        <v>70</v>
      </c>
      <c r="BA2" s="36" t="s">
        <v>71</v>
      </c>
      <c r="BB2" s="31" t="s">
        <v>67</v>
      </c>
      <c r="BC2" s="35" t="s">
        <v>68</v>
      </c>
      <c r="BD2" s="32" t="s">
        <v>89</v>
      </c>
      <c r="BE2" s="39"/>
      <c r="BF2" s="39">
        <f>AX9*BC1</f>
        <v>0</v>
      </c>
    </row>
    <row r="3" spans="1:66" x14ac:dyDescent="0.25">
      <c r="AX3" s="37">
        <f>$BC$1*$AV$9</f>
        <v>0</v>
      </c>
      <c r="AY3" s="37">
        <f>$BC$1*$AW$9/2</f>
        <v>0</v>
      </c>
      <c r="AZ3" s="37">
        <f>$BC$1*$AU$9/2</f>
        <v>0</v>
      </c>
      <c r="BA3" s="37">
        <f>$BC$1/8*$BJ$9</f>
        <v>0</v>
      </c>
      <c r="BB3" s="37">
        <f>$BC$1*$AT$9</f>
        <v>0</v>
      </c>
      <c r="BC3" s="15">
        <f>$BC$1*$AS$9</f>
        <v>0</v>
      </c>
      <c r="BD3" s="40">
        <f>(AX3)+(AY3)+(AZ3)+(BC3)</f>
        <v>0</v>
      </c>
      <c r="BE3" s="39"/>
      <c r="BF3" s="39"/>
    </row>
    <row r="4" spans="1:66" x14ac:dyDescent="0.25">
      <c r="L4" s="34" t="s">
        <v>14</v>
      </c>
      <c r="M4" s="34" t="s">
        <v>15</v>
      </c>
      <c r="O4" s="34" t="s">
        <v>0</v>
      </c>
      <c r="P4" s="3">
        <f>DATEVALUE("1"&amp;L5&amp;M5)</f>
        <v>45689</v>
      </c>
      <c r="AX4" s="15"/>
      <c r="AY4" s="15"/>
      <c r="AZ4" s="15"/>
      <c r="BA4" s="15"/>
      <c r="BB4" s="15"/>
      <c r="BC4" s="15"/>
      <c r="BD4" s="32"/>
      <c r="BE4" s="39"/>
      <c r="BF4" s="39"/>
    </row>
    <row r="5" spans="1:66" x14ac:dyDescent="0.25">
      <c r="L5" s="2" t="s">
        <v>3</v>
      </c>
      <c r="M5" s="2">
        <v>2025</v>
      </c>
      <c r="O5" s="34" t="s">
        <v>1</v>
      </c>
      <c r="P5" s="3">
        <f>EOMONTH(P4,0)</f>
        <v>45716</v>
      </c>
      <c r="AX5" s="10"/>
      <c r="AY5" s="10"/>
      <c r="AZ5" s="10"/>
      <c r="BA5" s="10"/>
      <c r="BB5" s="10"/>
      <c r="BC5" s="38"/>
      <c r="BD5" s="10"/>
      <c r="BI5" s="11"/>
      <c r="BJ5" s="11"/>
      <c r="BL5" s="11"/>
    </row>
    <row r="6" spans="1:66" x14ac:dyDescent="0.25">
      <c r="A6" s="32" t="s">
        <v>86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2"/>
      <c r="P6" s="13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X6" s="10"/>
      <c r="AZ6" s="48" t="s">
        <v>44</v>
      </c>
      <c r="BA6" s="48"/>
      <c r="BB6" s="48"/>
      <c r="BE6" s="51" t="s">
        <v>45</v>
      </c>
      <c r="BF6" s="51"/>
      <c r="BG6" s="52"/>
    </row>
    <row r="7" spans="1:6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8" t="str">
        <f t="shared" ref="M7:AQ7" si="0">TEXT(M8,"Ddd")</f>
        <v>Sat</v>
      </c>
      <c r="N7" s="8" t="str">
        <f t="shared" si="0"/>
        <v>Sun</v>
      </c>
      <c r="O7" s="8" t="str">
        <f t="shared" si="0"/>
        <v>Mon</v>
      </c>
      <c r="P7" s="8" t="str">
        <f t="shared" si="0"/>
        <v>Tue</v>
      </c>
      <c r="Q7" s="8" t="str">
        <f t="shared" si="0"/>
        <v>Wed</v>
      </c>
      <c r="R7" s="8" t="str">
        <f t="shared" si="0"/>
        <v>Thu</v>
      </c>
      <c r="S7" s="8" t="str">
        <f t="shared" si="0"/>
        <v>Fri</v>
      </c>
      <c r="T7" s="8" t="str">
        <f t="shared" si="0"/>
        <v>Sat</v>
      </c>
      <c r="U7" s="8" t="str">
        <f t="shared" si="0"/>
        <v>Sun</v>
      </c>
      <c r="V7" s="8" t="str">
        <f t="shared" si="0"/>
        <v>Mon</v>
      </c>
      <c r="W7" s="8" t="str">
        <f t="shared" si="0"/>
        <v>Tue</v>
      </c>
      <c r="X7" s="8" t="str">
        <f t="shared" si="0"/>
        <v>Wed</v>
      </c>
      <c r="Y7" s="8" t="str">
        <f t="shared" si="0"/>
        <v>Thu</v>
      </c>
      <c r="Z7" s="8" t="str">
        <f t="shared" si="0"/>
        <v>Fri</v>
      </c>
      <c r="AA7" s="8" t="str">
        <f t="shared" si="0"/>
        <v>Sat</v>
      </c>
      <c r="AB7" s="8" t="str">
        <f t="shared" si="0"/>
        <v>Sun</v>
      </c>
      <c r="AC7" s="8" t="str">
        <f t="shared" si="0"/>
        <v>Mon</v>
      </c>
      <c r="AD7" s="8" t="str">
        <f t="shared" si="0"/>
        <v>Tue</v>
      </c>
      <c r="AE7" s="8" t="str">
        <f t="shared" si="0"/>
        <v>Wed</v>
      </c>
      <c r="AF7" s="8" t="str">
        <f t="shared" si="0"/>
        <v>Thu</v>
      </c>
      <c r="AG7" s="8" t="str">
        <f t="shared" si="0"/>
        <v>Fri</v>
      </c>
      <c r="AH7" s="8" t="str">
        <f t="shared" si="0"/>
        <v>Sat</v>
      </c>
      <c r="AI7" s="8" t="str">
        <f t="shared" si="0"/>
        <v>Sun</v>
      </c>
      <c r="AJ7" s="8" t="str">
        <f t="shared" si="0"/>
        <v>Mon</v>
      </c>
      <c r="AK7" s="8" t="str">
        <f t="shared" si="0"/>
        <v>Tue</v>
      </c>
      <c r="AL7" s="8" t="str">
        <f t="shared" si="0"/>
        <v>Wed</v>
      </c>
      <c r="AM7" s="8" t="str">
        <f t="shared" si="0"/>
        <v>Thu</v>
      </c>
      <c r="AN7" s="8" t="str">
        <f t="shared" si="0"/>
        <v>Fri</v>
      </c>
      <c r="AO7" s="8" t="str">
        <f t="shared" si="0"/>
        <v xml:space="preserve"> </v>
      </c>
      <c r="AP7" s="8" t="str">
        <f t="shared" si="0"/>
        <v xml:space="preserve"> </v>
      </c>
      <c r="AQ7" s="8" t="str">
        <f t="shared" si="0"/>
        <v xml:space="preserve"> </v>
      </c>
      <c r="AX7" s="10"/>
      <c r="AY7" s="10"/>
      <c r="AZ7" s="28">
        <v>0.03</v>
      </c>
      <c r="BA7" s="28">
        <v>0.05</v>
      </c>
      <c r="BB7" s="28">
        <v>7.0000000000000007E-2</v>
      </c>
      <c r="BC7" s="10"/>
      <c r="BE7" s="29">
        <v>0.12</v>
      </c>
      <c r="BF7" s="29">
        <v>0.02</v>
      </c>
      <c r="BH7" s="10"/>
      <c r="BM7" s="10"/>
      <c r="BN7" s="10"/>
    </row>
    <row r="8" spans="1:66" x14ac:dyDescent="0.25">
      <c r="A8" s="14" t="s">
        <v>16</v>
      </c>
      <c r="B8" s="14" t="s">
        <v>17</v>
      </c>
      <c r="C8" s="14" t="s">
        <v>58</v>
      </c>
      <c r="D8" s="14" t="s">
        <v>59</v>
      </c>
      <c r="E8" s="14" t="s">
        <v>60</v>
      </c>
      <c r="F8" s="14" t="s">
        <v>61</v>
      </c>
      <c r="G8" s="14" t="s">
        <v>18</v>
      </c>
      <c r="H8" s="14" t="s">
        <v>41</v>
      </c>
      <c r="I8" s="14" t="s">
        <v>64</v>
      </c>
      <c r="J8" s="14" t="s">
        <v>63</v>
      </c>
      <c r="K8" s="14" t="s">
        <v>65</v>
      </c>
      <c r="L8" s="14" t="s">
        <v>20</v>
      </c>
      <c r="M8" s="46">
        <f>P4</f>
        <v>45689</v>
      </c>
      <c r="N8" s="46">
        <f t="shared" ref="N8:AM8" si="1">M8+1</f>
        <v>45690</v>
      </c>
      <c r="O8" s="46">
        <f t="shared" si="1"/>
        <v>45691</v>
      </c>
      <c r="P8" s="46">
        <f t="shared" si="1"/>
        <v>45692</v>
      </c>
      <c r="Q8" s="46">
        <f t="shared" si="1"/>
        <v>45693</v>
      </c>
      <c r="R8" s="46">
        <f t="shared" si="1"/>
        <v>45694</v>
      </c>
      <c r="S8" s="46">
        <f t="shared" si="1"/>
        <v>45695</v>
      </c>
      <c r="T8" s="46">
        <f t="shared" si="1"/>
        <v>45696</v>
      </c>
      <c r="U8" s="46">
        <f t="shared" si="1"/>
        <v>45697</v>
      </c>
      <c r="V8" s="46">
        <f t="shared" si="1"/>
        <v>45698</v>
      </c>
      <c r="W8" s="46">
        <f t="shared" si="1"/>
        <v>45699</v>
      </c>
      <c r="X8" s="46">
        <f t="shared" si="1"/>
        <v>45700</v>
      </c>
      <c r="Y8" s="46">
        <f t="shared" si="1"/>
        <v>45701</v>
      </c>
      <c r="Z8" s="46">
        <f t="shared" si="1"/>
        <v>45702</v>
      </c>
      <c r="AA8" s="46">
        <f t="shared" si="1"/>
        <v>45703</v>
      </c>
      <c r="AB8" s="46">
        <f t="shared" si="1"/>
        <v>45704</v>
      </c>
      <c r="AC8" s="46">
        <f t="shared" si="1"/>
        <v>45705</v>
      </c>
      <c r="AD8" s="46">
        <f t="shared" si="1"/>
        <v>45706</v>
      </c>
      <c r="AE8" s="46">
        <f t="shared" si="1"/>
        <v>45707</v>
      </c>
      <c r="AF8" s="46">
        <f t="shared" si="1"/>
        <v>45708</v>
      </c>
      <c r="AG8" s="46">
        <f t="shared" si="1"/>
        <v>45709</v>
      </c>
      <c r="AH8" s="46">
        <f t="shared" si="1"/>
        <v>45710</v>
      </c>
      <c r="AI8" s="46">
        <f t="shared" si="1"/>
        <v>45711</v>
      </c>
      <c r="AJ8" s="46">
        <f t="shared" si="1"/>
        <v>45712</v>
      </c>
      <c r="AK8" s="46">
        <f t="shared" si="1"/>
        <v>45713</v>
      </c>
      <c r="AL8" s="46">
        <f t="shared" si="1"/>
        <v>45714</v>
      </c>
      <c r="AM8" s="46">
        <f t="shared" si="1"/>
        <v>45715</v>
      </c>
      <c r="AN8" s="46">
        <f>IF(AM8&lt;$P$5,AM8+1," ")</f>
        <v>45716</v>
      </c>
      <c r="AO8" s="46" t="str">
        <f>IF(AN8&lt;$P$5,AN8+1," ")</f>
        <v xml:space="preserve"> </v>
      </c>
      <c r="AP8" s="46" t="str">
        <f>IF(AO8&lt;$P$5,AO8+1," ")</f>
        <v xml:space="preserve"> </v>
      </c>
      <c r="AQ8" s="46" t="str">
        <f>IF(AP8&lt;$P$5,AP8+1," ")</f>
        <v xml:space="preserve"> </v>
      </c>
      <c r="AR8" s="21" t="s">
        <v>42</v>
      </c>
      <c r="AS8" s="18" t="s">
        <v>25</v>
      </c>
      <c r="AT8" s="22" t="s">
        <v>38</v>
      </c>
      <c r="AU8" s="23" t="s">
        <v>39</v>
      </c>
      <c r="AV8" s="23" t="s">
        <v>87</v>
      </c>
      <c r="AW8" s="24" t="s">
        <v>40</v>
      </c>
      <c r="AX8" s="25" t="s">
        <v>43</v>
      </c>
      <c r="AY8" s="4" t="s">
        <v>46</v>
      </c>
      <c r="AZ8" s="4" t="s">
        <v>49</v>
      </c>
      <c r="BA8" s="26" t="s">
        <v>50</v>
      </c>
      <c r="BB8" s="8" t="s">
        <v>51</v>
      </c>
      <c r="BC8" s="27" t="s">
        <v>52</v>
      </c>
      <c r="BD8" s="20" t="s">
        <v>53</v>
      </c>
      <c r="BE8" s="7" t="s">
        <v>54</v>
      </c>
      <c r="BF8" s="9" t="s">
        <v>69</v>
      </c>
      <c r="BG8" s="45" t="s">
        <v>95</v>
      </c>
      <c r="BH8" s="27" t="s">
        <v>55</v>
      </c>
      <c r="BI8" s="7" t="s">
        <v>48</v>
      </c>
      <c r="BJ8" s="5" t="s">
        <v>62</v>
      </c>
      <c r="BK8" s="6" t="s">
        <v>47</v>
      </c>
      <c r="BL8" s="19" t="s">
        <v>56</v>
      </c>
      <c r="BM8" s="20" t="s">
        <v>57</v>
      </c>
      <c r="BN8" s="44" t="s">
        <v>91</v>
      </c>
    </row>
    <row r="9" spans="1:66" x14ac:dyDescent="0.25">
      <c r="A9" s="30" t="str">
        <f>$A$6&amp;IF(B9="","",COUNTA($B$9:B9)+100)</f>
        <v>SK-</v>
      </c>
      <c r="B9" s="15"/>
      <c r="C9" s="15"/>
      <c r="D9" s="15"/>
      <c r="E9" s="15"/>
      <c r="F9" s="15"/>
      <c r="G9" s="16"/>
      <c r="H9" s="16"/>
      <c r="I9" s="17"/>
      <c r="J9" s="17"/>
      <c r="K9" s="12" t="str">
        <f>IF($J9=""," ","Emp. Resign this Company")</f>
        <v xml:space="preserve"> </v>
      </c>
      <c r="L9" s="1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5">
        <f>COUNTA(M9:AQ9)</f>
        <v>0</v>
      </c>
      <c r="AS9" s="15">
        <f>COUNTIF(M9:AQ9,"P")</f>
        <v>0</v>
      </c>
      <c r="AT9" s="15">
        <f>COUNTIF(M9:AQ9,"A")</f>
        <v>0</v>
      </c>
      <c r="AU9" s="15">
        <f>COUNTIF(M9:AQ9,"L")</f>
        <v>0</v>
      </c>
      <c r="AV9" s="15">
        <f>COUNTIF(M9:AQ9,"SUN")</f>
        <v>0</v>
      </c>
      <c r="AW9" s="15">
        <f>COUNTIF(M9:AQ9,"H")</f>
        <v>0</v>
      </c>
      <c r="AX9" s="15">
        <f>($AR9-$AT9)-($AW9/2)-($AU9/2)</f>
        <v>0</v>
      </c>
      <c r="AY9" s="15"/>
      <c r="AZ9" s="15">
        <f>$AY9*$AZ$7</f>
        <v>0</v>
      </c>
      <c r="BA9" s="15">
        <f>$AY9*$BA$7</f>
        <v>0</v>
      </c>
      <c r="BB9" s="15">
        <f>$AY9*$BB$7</f>
        <v>0</v>
      </c>
      <c r="BC9" s="15">
        <f>$AZ9+$BA9+$BB9</f>
        <v>0</v>
      </c>
      <c r="BD9" s="37">
        <f>($AY9+$BC9)</f>
        <v>0</v>
      </c>
      <c r="BE9" s="15">
        <f>$AY9*$BE$7</f>
        <v>0</v>
      </c>
      <c r="BF9" s="15">
        <f>$AY9*$BF$7</f>
        <v>0</v>
      </c>
      <c r="BG9" s="41">
        <f>$BC$1*$AT9</f>
        <v>0</v>
      </c>
      <c r="BH9" s="37">
        <f>$BE9+$BF9+$BG9</f>
        <v>0</v>
      </c>
      <c r="BI9" s="1"/>
      <c r="BJ9" s="15"/>
      <c r="BK9" s="15">
        <f>IF($BA$4="",$AY9/30/8*$BJ9,$BA4*$BJ9)</f>
        <v>0</v>
      </c>
      <c r="BL9" s="37">
        <f>($BD9-$BH9)-$BI9</f>
        <v>0</v>
      </c>
      <c r="BM9" s="17"/>
      <c r="BN9" s="15"/>
    </row>
    <row r="10" spans="1:66" x14ac:dyDescent="0.25">
      <c r="A10" s="30" t="str">
        <f>$A$6&amp;IF(B10="","",COUNTA($B$9:B10)+100)</f>
        <v>SK-</v>
      </c>
      <c r="B10" s="15"/>
      <c r="C10" s="15"/>
      <c r="D10" s="15"/>
      <c r="E10" s="15"/>
      <c r="F10" s="15"/>
      <c r="G10" s="16"/>
      <c r="H10" s="16"/>
      <c r="I10" s="17"/>
      <c r="J10" s="17"/>
      <c r="K10" s="12" t="str">
        <f t="shared" ref="K10:K21" si="2">IF($J10=""," ","Emp. Resign this Company")</f>
        <v xml:space="preserve"> </v>
      </c>
      <c r="L10" s="1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5">
        <f t="shared" ref="AR10:AR21" si="3">COUNTA(M10:AQ10)</f>
        <v>0</v>
      </c>
      <c r="AS10" s="15">
        <f t="shared" ref="AS10:AS21" si="4">COUNTIF(M10:AQ10,"P")</f>
        <v>0</v>
      </c>
      <c r="AT10" s="15">
        <f t="shared" ref="AT10:AT21" si="5">COUNTIF(M10:AQ10,"A")</f>
        <v>0</v>
      </c>
      <c r="AU10" s="15">
        <f t="shared" ref="AU10:AU21" si="6">COUNTIF(M10:AQ10,"L")</f>
        <v>0</v>
      </c>
      <c r="AV10" s="15">
        <f t="shared" ref="AV10:AV21" si="7">COUNTIF(M10:AQ10,"SUN")</f>
        <v>0</v>
      </c>
      <c r="AW10" s="15">
        <f t="shared" ref="AW10:AW21" si="8">COUNTIF(M10:AQ10,"H")</f>
        <v>0</v>
      </c>
      <c r="AX10" s="15">
        <f t="shared" ref="AX10:AX21" si="9">($AR10-$AT10)-($AW10/2)-($AU10/2)</f>
        <v>0</v>
      </c>
      <c r="AY10" s="15"/>
      <c r="AZ10" s="15">
        <f t="shared" ref="AZ10:AZ21" si="10">$AY10*$AZ$7</f>
        <v>0</v>
      </c>
      <c r="BA10" s="15">
        <f t="shared" ref="BA10:BA21" si="11">$AY10*$BA$7</f>
        <v>0</v>
      </c>
      <c r="BB10" s="15">
        <f t="shared" ref="BB10:BB21" si="12">$AY10*$BB$7</f>
        <v>0</v>
      </c>
      <c r="BC10" s="15">
        <f t="shared" ref="BC10:BC21" si="13">$AZ10+$BA10+$BB10</f>
        <v>0</v>
      </c>
      <c r="BD10" s="37">
        <f t="shared" ref="BD10:BD21" si="14">($AY10+$BC10)</f>
        <v>0</v>
      </c>
      <c r="BE10" s="15">
        <f t="shared" ref="BE10:BE21" si="15">$AY10*$BE$7</f>
        <v>0</v>
      </c>
      <c r="BF10" s="15">
        <f t="shared" ref="BF10:BF21" si="16">$AY10*$BF$7</f>
        <v>0</v>
      </c>
      <c r="BG10" s="41">
        <f t="shared" ref="BG10:BG21" si="17">$BC$1*$AT10</f>
        <v>0</v>
      </c>
      <c r="BH10" s="37">
        <f t="shared" ref="BH10:BH21" si="18">$BE10+$BF10+$BG10</f>
        <v>0</v>
      </c>
      <c r="BI10" s="1"/>
      <c r="BJ10" s="15"/>
      <c r="BK10" s="15">
        <f t="shared" ref="BK10:BK21" si="19">IF($BA$4="",$AY10/30/8*$BJ10,$BA5*$BJ10)</f>
        <v>0</v>
      </c>
      <c r="BL10" s="37">
        <f t="shared" ref="BL10:BL21" si="20">($BD10-$BH10)-$BI10</f>
        <v>0</v>
      </c>
      <c r="BM10" s="15"/>
      <c r="BN10" s="15"/>
    </row>
    <row r="11" spans="1:66" x14ac:dyDescent="0.25">
      <c r="A11" s="30" t="str">
        <f>$A$6&amp;IF(B11="","",COUNTA($B$9:B11)+100)</f>
        <v>SK-</v>
      </c>
      <c r="B11" s="15"/>
      <c r="C11" s="15"/>
      <c r="D11" s="15"/>
      <c r="E11" s="15"/>
      <c r="F11" s="15"/>
      <c r="G11" s="16"/>
      <c r="H11" s="16"/>
      <c r="I11" s="17"/>
      <c r="J11" s="15"/>
      <c r="K11" s="12" t="str">
        <f t="shared" si="2"/>
        <v xml:space="preserve"> </v>
      </c>
      <c r="L11" s="1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5">
        <f t="shared" si="3"/>
        <v>0</v>
      </c>
      <c r="AS11" s="15">
        <f t="shared" si="4"/>
        <v>0</v>
      </c>
      <c r="AT11" s="15">
        <f t="shared" si="5"/>
        <v>0</v>
      </c>
      <c r="AU11" s="15">
        <f t="shared" si="6"/>
        <v>0</v>
      </c>
      <c r="AV11" s="15">
        <f t="shared" si="7"/>
        <v>0</v>
      </c>
      <c r="AW11" s="15">
        <f t="shared" si="8"/>
        <v>0</v>
      </c>
      <c r="AX11" s="15">
        <f t="shared" si="9"/>
        <v>0</v>
      </c>
      <c r="AY11" s="15"/>
      <c r="AZ11" s="15">
        <f t="shared" si="10"/>
        <v>0</v>
      </c>
      <c r="BA11" s="15">
        <f t="shared" si="11"/>
        <v>0</v>
      </c>
      <c r="BB11" s="15">
        <f t="shared" si="12"/>
        <v>0</v>
      </c>
      <c r="BC11" s="15">
        <f t="shared" si="13"/>
        <v>0</v>
      </c>
      <c r="BD11" s="37">
        <f t="shared" si="14"/>
        <v>0</v>
      </c>
      <c r="BE11" s="15">
        <f t="shared" si="15"/>
        <v>0</v>
      </c>
      <c r="BF11" s="15">
        <f t="shared" si="16"/>
        <v>0</v>
      </c>
      <c r="BG11" s="41">
        <f t="shared" si="17"/>
        <v>0</v>
      </c>
      <c r="BH11" s="37">
        <f t="shared" si="18"/>
        <v>0</v>
      </c>
      <c r="BI11" s="1"/>
      <c r="BJ11" s="15"/>
      <c r="BK11" s="15">
        <f t="shared" si="19"/>
        <v>0</v>
      </c>
      <c r="BL11" s="37">
        <f t="shared" si="20"/>
        <v>0</v>
      </c>
      <c r="BM11" s="15"/>
      <c r="BN11" s="15"/>
    </row>
    <row r="12" spans="1:66" x14ac:dyDescent="0.25">
      <c r="A12" s="30" t="str">
        <f>$A$6&amp;IF(B12="","",COUNTA($B$9:B12)+100)</f>
        <v>SK-</v>
      </c>
      <c r="B12" s="15"/>
      <c r="C12" s="15"/>
      <c r="D12" s="15"/>
      <c r="E12" s="15"/>
      <c r="F12" s="15"/>
      <c r="G12" s="16"/>
      <c r="H12" s="16"/>
      <c r="I12" s="17"/>
      <c r="J12" s="15"/>
      <c r="K12" s="12" t="str">
        <f t="shared" si="2"/>
        <v xml:space="preserve"> </v>
      </c>
      <c r="L12" s="1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5">
        <f t="shared" si="3"/>
        <v>0</v>
      </c>
      <c r="AS12" s="15">
        <f t="shared" si="4"/>
        <v>0</v>
      </c>
      <c r="AT12" s="15">
        <f t="shared" si="5"/>
        <v>0</v>
      </c>
      <c r="AU12" s="15">
        <f t="shared" si="6"/>
        <v>0</v>
      </c>
      <c r="AV12" s="15">
        <f t="shared" si="7"/>
        <v>0</v>
      </c>
      <c r="AW12" s="15">
        <f>COUNTIF(M12:AQ12,"H")</f>
        <v>0</v>
      </c>
      <c r="AX12" s="15">
        <f t="shared" si="9"/>
        <v>0</v>
      </c>
      <c r="AY12" s="15"/>
      <c r="AZ12" s="15">
        <f t="shared" si="10"/>
        <v>0</v>
      </c>
      <c r="BA12" s="15">
        <f t="shared" si="11"/>
        <v>0</v>
      </c>
      <c r="BB12" s="15">
        <f t="shared" si="12"/>
        <v>0</v>
      </c>
      <c r="BC12" s="15">
        <f t="shared" si="13"/>
        <v>0</v>
      </c>
      <c r="BD12" s="37">
        <f t="shared" si="14"/>
        <v>0</v>
      </c>
      <c r="BE12" s="15">
        <f t="shared" si="15"/>
        <v>0</v>
      </c>
      <c r="BF12" s="15">
        <f t="shared" si="16"/>
        <v>0</v>
      </c>
      <c r="BG12" s="41">
        <f t="shared" si="17"/>
        <v>0</v>
      </c>
      <c r="BH12" s="37">
        <f t="shared" si="18"/>
        <v>0</v>
      </c>
      <c r="BI12" s="1"/>
      <c r="BJ12" s="15"/>
      <c r="BK12" s="15">
        <f t="shared" si="19"/>
        <v>0</v>
      </c>
      <c r="BL12" s="37">
        <f t="shared" si="20"/>
        <v>0</v>
      </c>
      <c r="BM12" s="15"/>
      <c r="BN12" s="15"/>
    </row>
    <row r="13" spans="1:66" x14ac:dyDescent="0.25">
      <c r="A13" s="30" t="str">
        <f>$A$6&amp;IF(B13="","",COUNTA($B$9:B13)+100)</f>
        <v>SK-</v>
      </c>
      <c r="B13" s="15"/>
      <c r="C13" s="15"/>
      <c r="D13" s="15"/>
      <c r="E13" s="15"/>
      <c r="F13" s="15"/>
      <c r="G13" s="16"/>
      <c r="H13" s="16"/>
      <c r="I13" s="17"/>
      <c r="J13" s="17"/>
      <c r="K13" s="12" t="str">
        <f t="shared" si="2"/>
        <v xml:space="preserve"> </v>
      </c>
      <c r="L13" s="1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5">
        <f t="shared" si="3"/>
        <v>0</v>
      </c>
      <c r="AS13" s="15">
        <f t="shared" si="4"/>
        <v>0</v>
      </c>
      <c r="AT13" s="15">
        <f t="shared" si="5"/>
        <v>0</v>
      </c>
      <c r="AU13" s="15">
        <f t="shared" si="6"/>
        <v>0</v>
      </c>
      <c r="AV13" s="15">
        <f t="shared" si="7"/>
        <v>0</v>
      </c>
      <c r="AW13" s="15">
        <f t="shared" si="8"/>
        <v>0</v>
      </c>
      <c r="AX13" s="15">
        <f t="shared" si="9"/>
        <v>0</v>
      </c>
      <c r="AY13" s="15"/>
      <c r="AZ13" s="15">
        <f t="shared" si="10"/>
        <v>0</v>
      </c>
      <c r="BA13" s="15">
        <f t="shared" si="11"/>
        <v>0</v>
      </c>
      <c r="BB13" s="15">
        <f t="shared" si="12"/>
        <v>0</v>
      </c>
      <c r="BC13" s="15">
        <f t="shared" si="13"/>
        <v>0</v>
      </c>
      <c r="BD13" s="37">
        <f t="shared" si="14"/>
        <v>0</v>
      </c>
      <c r="BE13" s="15">
        <f t="shared" si="15"/>
        <v>0</v>
      </c>
      <c r="BF13" s="15">
        <f t="shared" si="16"/>
        <v>0</v>
      </c>
      <c r="BG13" s="41">
        <f t="shared" si="17"/>
        <v>0</v>
      </c>
      <c r="BH13" s="37">
        <f t="shared" si="18"/>
        <v>0</v>
      </c>
      <c r="BI13" s="1"/>
      <c r="BJ13" s="15"/>
      <c r="BK13" s="15">
        <f t="shared" si="19"/>
        <v>0</v>
      </c>
      <c r="BL13" s="37">
        <f t="shared" si="20"/>
        <v>0</v>
      </c>
      <c r="BM13" s="15"/>
      <c r="BN13" s="15"/>
    </row>
    <row r="14" spans="1:66" x14ac:dyDescent="0.25">
      <c r="A14" s="30" t="str">
        <f>$A$6&amp;IF(B14="","",COUNTA($B$9:B14)+100)</f>
        <v>SK-</v>
      </c>
      <c r="B14" s="15"/>
      <c r="C14" s="15"/>
      <c r="D14" s="15"/>
      <c r="E14" s="15"/>
      <c r="F14" s="15"/>
      <c r="G14" s="16"/>
      <c r="H14" s="16"/>
      <c r="I14" s="17"/>
      <c r="J14" s="15"/>
      <c r="K14" s="12" t="str">
        <f t="shared" si="2"/>
        <v xml:space="preserve"> </v>
      </c>
      <c r="L14" s="1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5">
        <f t="shared" si="3"/>
        <v>0</v>
      </c>
      <c r="AS14" s="15">
        <f t="shared" si="4"/>
        <v>0</v>
      </c>
      <c r="AT14" s="15">
        <f t="shared" si="5"/>
        <v>0</v>
      </c>
      <c r="AU14" s="15">
        <f t="shared" si="6"/>
        <v>0</v>
      </c>
      <c r="AV14" s="15">
        <f t="shared" si="7"/>
        <v>0</v>
      </c>
      <c r="AW14" s="15">
        <f t="shared" si="8"/>
        <v>0</v>
      </c>
      <c r="AX14" s="15">
        <f t="shared" si="9"/>
        <v>0</v>
      </c>
      <c r="AY14" s="15"/>
      <c r="AZ14" s="15">
        <f t="shared" si="10"/>
        <v>0</v>
      </c>
      <c r="BA14" s="15">
        <f t="shared" si="11"/>
        <v>0</v>
      </c>
      <c r="BB14" s="15">
        <f t="shared" si="12"/>
        <v>0</v>
      </c>
      <c r="BC14" s="15">
        <f t="shared" si="13"/>
        <v>0</v>
      </c>
      <c r="BD14" s="37">
        <f t="shared" si="14"/>
        <v>0</v>
      </c>
      <c r="BE14" s="15">
        <f t="shared" si="15"/>
        <v>0</v>
      </c>
      <c r="BF14" s="15">
        <f t="shared" si="16"/>
        <v>0</v>
      </c>
      <c r="BG14" s="41">
        <f t="shared" si="17"/>
        <v>0</v>
      </c>
      <c r="BH14" s="37">
        <f t="shared" si="18"/>
        <v>0</v>
      </c>
      <c r="BI14" s="1"/>
      <c r="BJ14" s="15"/>
      <c r="BK14" s="15">
        <f t="shared" si="19"/>
        <v>0</v>
      </c>
      <c r="BL14" s="37">
        <f t="shared" si="20"/>
        <v>0</v>
      </c>
      <c r="BM14" s="15"/>
      <c r="BN14" s="15"/>
    </row>
    <row r="15" spans="1:66" x14ac:dyDescent="0.25">
      <c r="A15" s="30" t="str">
        <f>$A$6&amp;IF(B15="","",COUNTA($B$9:B15)+100)</f>
        <v>SK-</v>
      </c>
      <c r="B15" s="15"/>
      <c r="C15" s="15"/>
      <c r="D15" s="15"/>
      <c r="E15" s="15"/>
      <c r="F15" s="15"/>
      <c r="G15" s="16"/>
      <c r="H15" s="16"/>
      <c r="I15" s="17"/>
      <c r="J15" s="15"/>
      <c r="K15" s="12" t="str">
        <f t="shared" si="2"/>
        <v xml:space="preserve"> </v>
      </c>
      <c r="L15" s="1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5">
        <f t="shared" si="3"/>
        <v>0</v>
      </c>
      <c r="AS15" s="15">
        <f t="shared" si="4"/>
        <v>0</v>
      </c>
      <c r="AT15" s="15">
        <f t="shared" si="5"/>
        <v>0</v>
      </c>
      <c r="AU15" s="15">
        <f t="shared" si="6"/>
        <v>0</v>
      </c>
      <c r="AV15" s="15">
        <f t="shared" si="7"/>
        <v>0</v>
      </c>
      <c r="AW15" s="15">
        <f t="shared" si="8"/>
        <v>0</v>
      </c>
      <c r="AX15" s="15">
        <f t="shared" si="9"/>
        <v>0</v>
      </c>
      <c r="AY15" s="15"/>
      <c r="AZ15" s="15">
        <f t="shared" si="10"/>
        <v>0</v>
      </c>
      <c r="BA15" s="15">
        <f t="shared" si="11"/>
        <v>0</v>
      </c>
      <c r="BB15" s="15">
        <f t="shared" si="12"/>
        <v>0</v>
      </c>
      <c r="BC15" s="15">
        <f t="shared" si="13"/>
        <v>0</v>
      </c>
      <c r="BD15" s="37">
        <f t="shared" si="14"/>
        <v>0</v>
      </c>
      <c r="BE15" s="15">
        <f t="shared" si="15"/>
        <v>0</v>
      </c>
      <c r="BF15" s="15">
        <f t="shared" si="16"/>
        <v>0</v>
      </c>
      <c r="BG15" s="41">
        <f t="shared" si="17"/>
        <v>0</v>
      </c>
      <c r="BH15" s="37">
        <f t="shared" si="18"/>
        <v>0</v>
      </c>
      <c r="BI15" s="1"/>
      <c r="BJ15" s="15"/>
      <c r="BK15" s="15">
        <f t="shared" si="19"/>
        <v>0</v>
      </c>
      <c r="BL15" s="37">
        <f t="shared" si="20"/>
        <v>0</v>
      </c>
      <c r="BM15" s="15"/>
      <c r="BN15" s="15"/>
    </row>
    <row r="16" spans="1:66" x14ac:dyDescent="0.25">
      <c r="A16" s="30" t="str">
        <f>$A$6&amp;IF(B16="","",COUNTA($B$9:B16)+100)</f>
        <v>SK-</v>
      </c>
      <c r="B16" s="15"/>
      <c r="C16" s="15"/>
      <c r="D16" s="15"/>
      <c r="E16" s="15"/>
      <c r="F16" s="15"/>
      <c r="G16" s="16"/>
      <c r="H16" s="16"/>
      <c r="I16" s="17"/>
      <c r="J16" s="15"/>
      <c r="K16" s="12" t="str">
        <f t="shared" si="2"/>
        <v xml:space="preserve"> </v>
      </c>
      <c r="L16" s="1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5">
        <f t="shared" si="3"/>
        <v>0</v>
      </c>
      <c r="AS16" s="15">
        <f t="shared" si="4"/>
        <v>0</v>
      </c>
      <c r="AT16" s="15">
        <f t="shared" si="5"/>
        <v>0</v>
      </c>
      <c r="AU16" s="15">
        <f t="shared" si="6"/>
        <v>0</v>
      </c>
      <c r="AV16" s="15">
        <f t="shared" si="7"/>
        <v>0</v>
      </c>
      <c r="AW16" s="15">
        <f t="shared" si="8"/>
        <v>0</v>
      </c>
      <c r="AX16" s="15">
        <f t="shared" si="9"/>
        <v>0</v>
      </c>
      <c r="AY16" s="15"/>
      <c r="AZ16" s="15">
        <f t="shared" si="10"/>
        <v>0</v>
      </c>
      <c r="BA16" s="15">
        <f t="shared" si="11"/>
        <v>0</v>
      </c>
      <c r="BB16" s="15">
        <f t="shared" si="12"/>
        <v>0</v>
      </c>
      <c r="BC16" s="15">
        <f t="shared" si="13"/>
        <v>0</v>
      </c>
      <c r="BD16" s="37">
        <f t="shared" si="14"/>
        <v>0</v>
      </c>
      <c r="BE16" s="15">
        <f t="shared" si="15"/>
        <v>0</v>
      </c>
      <c r="BF16" s="15">
        <f t="shared" si="16"/>
        <v>0</v>
      </c>
      <c r="BG16" s="41">
        <f t="shared" si="17"/>
        <v>0</v>
      </c>
      <c r="BH16" s="37">
        <f t="shared" si="18"/>
        <v>0</v>
      </c>
      <c r="BI16" s="1"/>
      <c r="BJ16" s="15"/>
      <c r="BK16" s="15">
        <f t="shared" si="19"/>
        <v>0</v>
      </c>
      <c r="BL16" s="37">
        <f t="shared" si="20"/>
        <v>0</v>
      </c>
      <c r="BM16" s="15"/>
      <c r="BN16" s="15"/>
    </row>
    <row r="17" spans="1:66" x14ac:dyDescent="0.25">
      <c r="A17" s="30" t="str">
        <f>$A$6&amp;IF(B17="","",COUNTA($B$9:B17)+100)</f>
        <v>SK-</v>
      </c>
      <c r="B17" s="15"/>
      <c r="C17" s="15"/>
      <c r="D17" s="15"/>
      <c r="E17" s="15"/>
      <c r="F17" s="15"/>
      <c r="G17" s="16"/>
      <c r="H17" s="16"/>
      <c r="I17" s="17"/>
      <c r="J17" s="15"/>
      <c r="K17" s="12" t="str">
        <f t="shared" si="2"/>
        <v xml:space="preserve"> </v>
      </c>
      <c r="L17" s="1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5">
        <f t="shared" si="3"/>
        <v>0</v>
      </c>
      <c r="AS17" s="15">
        <f t="shared" si="4"/>
        <v>0</v>
      </c>
      <c r="AT17" s="15">
        <f t="shared" si="5"/>
        <v>0</v>
      </c>
      <c r="AU17" s="15">
        <f t="shared" si="6"/>
        <v>0</v>
      </c>
      <c r="AV17" s="15">
        <f t="shared" si="7"/>
        <v>0</v>
      </c>
      <c r="AW17" s="15">
        <f t="shared" si="8"/>
        <v>0</v>
      </c>
      <c r="AX17" s="15">
        <f t="shared" si="9"/>
        <v>0</v>
      </c>
      <c r="AY17" s="15"/>
      <c r="AZ17" s="15">
        <f t="shared" si="10"/>
        <v>0</v>
      </c>
      <c r="BA17" s="15">
        <f t="shared" si="11"/>
        <v>0</v>
      </c>
      <c r="BB17" s="15">
        <f t="shared" si="12"/>
        <v>0</v>
      </c>
      <c r="BC17" s="15">
        <f t="shared" si="13"/>
        <v>0</v>
      </c>
      <c r="BD17" s="37">
        <f t="shared" si="14"/>
        <v>0</v>
      </c>
      <c r="BE17" s="15">
        <f t="shared" si="15"/>
        <v>0</v>
      </c>
      <c r="BF17" s="15">
        <f t="shared" si="16"/>
        <v>0</v>
      </c>
      <c r="BG17" s="41">
        <f t="shared" si="17"/>
        <v>0</v>
      </c>
      <c r="BH17" s="37">
        <f t="shared" si="18"/>
        <v>0</v>
      </c>
      <c r="BI17" s="1"/>
      <c r="BJ17" s="15"/>
      <c r="BK17" s="15">
        <f t="shared" si="19"/>
        <v>0</v>
      </c>
      <c r="BL17" s="37">
        <f t="shared" si="20"/>
        <v>0</v>
      </c>
      <c r="BM17" s="15"/>
      <c r="BN17" s="15"/>
    </row>
    <row r="18" spans="1:66" x14ac:dyDescent="0.25">
      <c r="A18" s="30" t="str">
        <f>$A$6&amp;IF(B18="","",COUNTA($B$9:B18)+100)</f>
        <v>SK-</v>
      </c>
      <c r="B18" s="15"/>
      <c r="C18" s="15"/>
      <c r="D18" s="15"/>
      <c r="E18" s="15"/>
      <c r="F18" s="15"/>
      <c r="G18" s="16"/>
      <c r="H18" s="16"/>
      <c r="I18" s="17"/>
      <c r="J18" s="15"/>
      <c r="K18" s="12" t="str">
        <f t="shared" si="2"/>
        <v xml:space="preserve"> </v>
      </c>
      <c r="L18" s="1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5">
        <f t="shared" si="3"/>
        <v>0</v>
      </c>
      <c r="AS18" s="15">
        <f t="shared" si="4"/>
        <v>0</v>
      </c>
      <c r="AT18" s="15">
        <f t="shared" si="5"/>
        <v>0</v>
      </c>
      <c r="AU18" s="15">
        <f t="shared" si="6"/>
        <v>0</v>
      </c>
      <c r="AV18" s="15">
        <f t="shared" si="7"/>
        <v>0</v>
      </c>
      <c r="AW18" s="15">
        <f t="shared" si="8"/>
        <v>0</v>
      </c>
      <c r="AX18" s="15">
        <f t="shared" si="9"/>
        <v>0</v>
      </c>
      <c r="AY18" s="15"/>
      <c r="AZ18" s="15">
        <f t="shared" si="10"/>
        <v>0</v>
      </c>
      <c r="BA18" s="15">
        <f t="shared" si="11"/>
        <v>0</v>
      </c>
      <c r="BB18" s="15">
        <f t="shared" si="12"/>
        <v>0</v>
      </c>
      <c r="BC18" s="15">
        <f t="shared" si="13"/>
        <v>0</v>
      </c>
      <c r="BD18" s="37">
        <f t="shared" si="14"/>
        <v>0</v>
      </c>
      <c r="BE18" s="15">
        <f t="shared" si="15"/>
        <v>0</v>
      </c>
      <c r="BF18" s="15">
        <f t="shared" si="16"/>
        <v>0</v>
      </c>
      <c r="BG18" s="41">
        <f t="shared" si="17"/>
        <v>0</v>
      </c>
      <c r="BH18" s="37">
        <f t="shared" si="18"/>
        <v>0</v>
      </c>
      <c r="BI18" s="1"/>
      <c r="BJ18" s="15"/>
      <c r="BK18" s="15">
        <f t="shared" si="19"/>
        <v>0</v>
      </c>
      <c r="BL18" s="37">
        <f t="shared" si="20"/>
        <v>0</v>
      </c>
      <c r="BM18" s="15"/>
      <c r="BN18" s="15"/>
    </row>
    <row r="19" spans="1:66" x14ac:dyDescent="0.25">
      <c r="A19" s="30" t="str">
        <f>$A$6&amp;IF(B19="","",COUNTA($B$9:B19)+100)</f>
        <v>SK-</v>
      </c>
      <c r="B19" s="15"/>
      <c r="C19" s="15"/>
      <c r="D19" s="15"/>
      <c r="E19" s="15"/>
      <c r="F19" s="15"/>
      <c r="G19" s="16"/>
      <c r="H19" s="16"/>
      <c r="I19" s="17"/>
      <c r="J19" s="15"/>
      <c r="K19" s="12" t="str">
        <f t="shared" si="2"/>
        <v xml:space="preserve"> </v>
      </c>
      <c r="L19" s="1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5">
        <f t="shared" si="3"/>
        <v>0</v>
      </c>
      <c r="AS19" s="15">
        <f t="shared" si="4"/>
        <v>0</v>
      </c>
      <c r="AT19" s="15">
        <f t="shared" si="5"/>
        <v>0</v>
      </c>
      <c r="AU19" s="15">
        <f t="shared" si="6"/>
        <v>0</v>
      </c>
      <c r="AV19" s="15">
        <f t="shared" si="7"/>
        <v>0</v>
      </c>
      <c r="AW19" s="15">
        <f t="shared" si="8"/>
        <v>0</v>
      </c>
      <c r="AX19" s="15">
        <f t="shared" si="9"/>
        <v>0</v>
      </c>
      <c r="AY19" s="15"/>
      <c r="AZ19" s="15">
        <f t="shared" si="10"/>
        <v>0</v>
      </c>
      <c r="BA19" s="15">
        <f t="shared" si="11"/>
        <v>0</v>
      </c>
      <c r="BB19" s="15">
        <f t="shared" si="12"/>
        <v>0</v>
      </c>
      <c r="BC19" s="15">
        <f t="shared" si="13"/>
        <v>0</v>
      </c>
      <c r="BD19" s="37">
        <f t="shared" si="14"/>
        <v>0</v>
      </c>
      <c r="BE19" s="15">
        <f t="shared" si="15"/>
        <v>0</v>
      </c>
      <c r="BF19" s="15">
        <f t="shared" si="16"/>
        <v>0</v>
      </c>
      <c r="BG19" s="41">
        <f t="shared" si="17"/>
        <v>0</v>
      </c>
      <c r="BH19" s="37">
        <f t="shared" si="18"/>
        <v>0</v>
      </c>
      <c r="BI19" s="1"/>
      <c r="BJ19" s="15"/>
      <c r="BK19" s="15">
        <f t="shared" si="19"/>
        <v>0</v>
      </c>
      <c r="BL19" s="37">
        <f t="shared" si="20"/>
        <v>0</v>
      </c>
      <c r="BM19" s="15"/>
      <c r="BN19" s="15"/>
    </row>
    <row r="20" spans="1:66" x14ac:dyDescent="0.25">
      <c r="A20" s="30" t="str">
        <f>$A$6&amp;IF(B20="","",COUNTA($B$9:B20)+100)</f>
        <v>SK-</v>
      </c>
      <c r="B20" s="15"/>
      <c r="C20" s="15"/>
      <c r="D20" s="15"/>
      <c r="E20" s="15"/>
      <c r="F20" s="15"/>
      <c r="G20" s="16"/>
      <c r="H20" s="16"/>
      <c r="I20" s="17"/>
      <c r="J20" s="15"/>
      <c r="K20" s="12" t="str">
        <f t="shared" si="2"/>
        <v xml:space="preserve"> </v>
      </c>
      <c r="L20" s="1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5">
        <f t="shared" si="3"/>
        <v>0</v>
      </c>
      <c r="AS20" s="15">
        <f t="shared" si="4"/>
        <v>0</v>
      </c>
      <c r="AT20" s="15">
        <f t="shared" si="5"/>
        <v>0</v>
      </c>
      <c r="AU20" s="15">
        <f t="shared" si="6"/>
        <v>0</v>
      </c>
      <c r="AV20" s="15">
        <f t="shared" si="7"/>
        <v>0</v>
      </c>
      <c r="AW20" s="15">
        <f t="shared" si="8"/>
        <v>0</v>
      </c>
      <c r="AX20" s="15">
        <f t="shared" si="9"/>
        <v>0</v>
      </c>
      <c r="AY20" s="15"/>
      <c r="AZ20" s="15">
        <f t="shared" si="10"/>
        <v>0</v>
      </c>
      <c r="BA20" s="15">
        <f t="shared" si="11"/>
        <v>0</v>
      </c>
      <c r="BB20" s="15">
        <f t="shared" si="12"/>
        <v>0</v>
      </c>
      <c r="BC20" s="15">
        <f t="shared" si="13"/>
        <v>0</v>
      </c>
      <c r="BD20" s="37">
        <f t="shared" si="14"/>
        <v>0</v>
      </c>
      <c r="BE20" s="15">
        <f t="shared" si="15"/>
        <v>0</v>
      </c>
      <c r="BF20" s="15">
        <f t="shared" si="16"/>
        <v>0</v>
      </c>
      <c r="BG20" s="41">
        <f t="shared" si="17"/>
        <v>0</v>
      </c>
      <c r="BH20" s="37">
        <f t="shared" si="18"/>
        <v>0</v>
      </c>
      <c r="BI20" s="1"/>
      <c r="BJ20" s="15"/>
      <c r="BK20" s="15">
        <f t="shared" si="19"/>
        <v>0</v>
      </c>
      <c r="BL20" s="37">
        <f t="shared" si="20"/>
        <v>0</v>
      </c>
      <c r="BM20" s="15"/>
      <c r="BN20" s="15"/>
    </row>
    <row r="21" spans="1:66" x14ac:dyDescent="0.25">
      <c r="A21" s="30" t="str">
        <f>$A$6&amp;IF(B21="","",COUNTA($B$9:B21)+100)</f>
        <v>SK-</v>
      </c>
      <c r="B21" s="15"/>
      <c r="C21" s="15"/>
      <c r="D21" s="15"/>
      <c r="E21" s="15"/>
      <c r="F21" s="15"/>
      <c r="G21" s="16"/>
      <c r="H21" s="16"/>
      <c r="I21" s="17"/>
      <c r="J21" s="15"/>
      <c r="K21" s="12" t="str">
        <f t="shared" si="2"/>
        <v xml:space="preserve"> </v>
      </c>
      <c r="L21" s="1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5">
        <f t="shared" si="3"/>
        <v>0</v>
      </c>
      <c r="AS21" s="15">
        <f t="shared" si="4"/>
        <v>0</v>
      </c>
      <c r="AT21" s="15">
        <f t="shared" si="5"/>
        <v>0</v>
      </c>
      <c r="AU21" s="15">
        <f t="shared" si="6"/>
        <v>0</v>
      </c>
      <c r="AV21" s="15">
        <f t="shared" si="7"/>
        <v>0</v>
      </c>
      <c r="AW21" s="15">
        <f t="shared" si="8"/>
        <v>0</v>
      </c>
      <c r="AX21" s="15">
        <f t="shared" si="9"/>
        <v>0</v>
      </c>
      <c r="AY21" s="15"/>
      <c r="AZ21" s="15">
        <f t="shared" si="10"/>
        <v>0</v>
      </c>
      <c r="BA21" s="15">
        <f t="shared" si="11"/>
        <v>0</v>
      </c>
      <c r="BB21" s="15">
        <f t="shared" si="12"/>
        <v>0</v>
      </c>
      <c r="BC21" s="15">
        <f t="shared" si="13"/>
        <v>0</v>
      </c>
      <c r="BD21" s="37">
        <f t="shared" si="14"/>
        <v>0</v>
      </c>
      <c r="BE21" s="15">
        <f t="shared" si="15"/>
        <v>0</v>
      </c>
      <c r="BF21" s="15">
        <f t="shared" si="16"/>
        <v>0</v>
      </c>
      <c r="BG21" s="41">
        <f t="shared" si="17"/>
        <v>0</v>
      </c>
      <c r="BH21" s="37">
        <f t="shared" si="18"/>
        <v>0</v>
      </c>
      <c r="BI21" s="1"/>
      <c r="BJ21" s="15"/>
      <c r="BK21" s="15">
        <f t="shared" si="19"/>
        <v>0</v>
      </c>
      <c r="BL21" s="37">
        <f t="shared" si="20"/>
        <v>0</v>
      </c>
      <c r="BM21" s="15"/>
      <c r="BN21" s="15"/>
    </row>
  </sheetData>
  <mergeCells count="3">
    <mergeCell ref="A1:AR2"/>
    <mergeCell ref="AZ6:BB6"/>
    <mergeCell ref="BE6:BG6"/>
  </mergeCells>
  <conditionalFormatting sqref="A9:A21">
    <cfRule type="expression" dxfId="142" priority="9">
      <formula>A9="SK-"</formula>
    </cfRule>
  </conditionalFormatting>
  <conditionalFormatting sqref="K9:K21">
    <cfRule type="expression" dxfId="141" priority="10">
      <formula>K9:K21="Emp. Resign this Company"</formula>
    </cfRule>
  </conditionalFormatting>
  <conditionalFormatting sqref="M9:AQ21">
    <cfRule type="expression" dxfId="140" priority="5">
      <formula>M9="P"</formula>
    </cfRule>
    <cfRule type="expression" dxfId="139" priority="6">
      <formula>M9="L"</formula>
    </cfRule>
    <cfRule type="expression" dxfId="138" priority="7">
      <formula>M9="H"</formula>
    </cfRule>
    <cfRule type="expression" dxfId="137" priority="8">
      <formula>M9="A"</formula>
    </cfRule>
    <cfRule type="expression" dxfId="136" priority="13">
      <formula>M$7="sun"</formula>
    </cfRule>
  </conditionalFormatting>
  <conditionalFormatting sqref="AO8">
    <cfRule type="expression" dxfId="135" priority="12">
      <formula>$AO$8=DATEVLUE(1/29/2024)</formula>
    </cfRule>
  </conditionalFormatting>
  <conditionalFormatting sqref="AP8">
    <cfRule type="expression" dxfId="134" priority="11">
      <formula>$AP$8=DATEVALUE("2/30/2024")</formula>
    </cfRule>
  </conditionalFormatting>
  <conditionalFormatting sqref="AR9:BL21">
    <cfRule type="expression" dxfId="133" priority="4">
      <formula>AR9=0</formula>
    </cfRule>
  </conditionalFormatting>
  <conditionalFormatting sqref="BM9:BN21">
    <cfRule type="expression" dxfId="132" priority="1">
      <formula>$BN9="Process"</formula>
    </cfRule>
    <cfRule type="expression" dxfId="131" priority="2">
      <formula>$BN9="Pending"</formula>
    </cfRule>
    <cfRule type="expression" dxfId="130" priority="3">
      <formula>$BN9="done"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'data sheet'!$D$2:$D$4</xm:f>
          </x14:formula1>
          <xm:sqref>BN9:BN21</xm:sqref>
        </x14:dataValidation>
        <x14:dataValidation type="list" allowBlank="1" showInputMessage="1" showErrorMessage="1">
          <x14:formula1>
            <xm:f>'data sheet'!$Q$1:$Q$12</xm:f>
          </x14:formula1>
          <xm:sqref>L5</xm:sqref>
        </x14:dataValidation>
        <x14:dataValidation type="list" allowBlank="1" showInputMessage="1" showErrorMessage="1">
          <x14:formula1>
            <xm:f>'data sheet'!$P$1:$P$99</xm:f>
          </x14:formula1>
          <xm:sqref>M5</xm:sqref>
        </x14:dataValidation>
        <x14:dataValidation type="list" allowBlank="1" showInputMessage="1" showErrorMessage="1">
          <x14:formula1>
            <xm:f>'data sheet'!$C$2:$C$9</xm:f>
          </x14:formula1>
          <xm:sqref>D9:D21</xm:sqref>
        </x14:dataValidation>
        <x14:dataValidation type="list" allowBlank="1" showInputMessage="1" showErrorMessage="1">
          <x14:formula1>
            <xm:f>'data sheet'!$B$2:$B$6</xm:f>
          </x14:formula1>
          <xm:sqref>C9:C21</xm:sqref>
        </x14:dataValidation>
        <x14:dataValidation type="list" allowBlank="1" showInputMessage="1" showErrorMessage="1">
          <x14:formula1>
            <xm:f>'data sheet'!$A$2:$A$14</xm:f>
          </x14:formula1>
          <xm:sqref>B9:B21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21"/>
  <sheetViews>
    <sheetView topLeftCell="G1" workbookViewId="0">
      <selection activeCell="M5" sqref="M5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5.85546875" bestFit="1" customWidth="1"/>
    <col min="4" max="4" width="4.85546875" bestFit="1" customWidth="1"/>
    <col min="5" max="5" width="7.7109375" bestFit="1" customWidth="1"/>
    <col min="6" max="6" width="7.140625" bestFit="1" customWidth="1"/>
    <col min="7" max="7" width="7.28515625" bestFit="1" customWidth="1"/>
    <col min="9" max="9" width="9" bestFit="1" customWidth="1"/>
    <col min="10" max="10" width="9.7109375" bestFit="1" customWidth="1"/>
    <col min="11" max="11" width="11.42578125" bestFit="1" customWidth="1"/>
    <col min="12" max="12" width="7" bestFit="1" customWidth="1"/>
    <col min="13" max="43" width="10.42578125" bestFit="1" customWidth="1"/>
    <col min="44" max="44" width="9.85546875" bestFit="1" customWidth="1"/>
    <col min="45" max="45" width="7.85546875" bestFit="1" customWidth="1"/>
    <col min="46" max="46" width="7.28515625" bestFit="1" customWidth="1"/>
    <col min="47" max="47" width="6.140625" bestFit="1" customWidth="1"/>
    <col min="48" max="48" width="7.42578125" bestFit="1" customWidth="1"/>
    <col min="49" max="49" width="8.140625" bestFit="1" customWidth="1"/>
    <col min="50" max="50" width="12.7109375" bestFit="1" customWidth="1"/>
    <col min="51" max="51" width="11.140625" bestFit="1" customWidth="1"/>
    <col min="52" max="52" width="19.7109375" bestFit="1" customWidth="1"/>
    <col min="53" max="53" width="21.85546875" bestFit="1" customWidth="1"/>
    <col min="54" max="54" width="22" bestFit="1" customWidth="1"/>
    <col min="55" max="55" width="27.5703125" bestFit="1" customWidth="1"/>
    <col min="56" max="56" width="8.7109375" bestFit="1" customWidth="1"/>
    <col min="57" max="57" width="4.5703125" bestFit="1" customWidth="1"/>
    <col min="58" max="58" width="4.7109375" bestFit="1" customWidth="1"/>
    <col min="59" max="59" width="22.42578125" bestFit="1" customWidth="1"/>
    <col min="60" max="60" width="11.7109375" bestFit="1" customWidth="1"/>
    <col min="61" max="61" width="8.5703125" bestFit="1" customWidth="1"/>
    <col min="62" max="62" width="14.28515625" bestFit="1" customWidth="1"/>
    <col min="63" max="64" width="10" bestFit="1" customWidth="1"/>
    <col min="65" max="65" width="15.85546875" bestFit="1" customWidth="1"/>
    <col min="66" max="66" width="6.42578125" bestFit="1" customWidth="1"/>
  </cols>
  <sheetData>
    <row r="1" spans="1:66" ht="30" customHeight="1" x14ac:dyDescent="0.25">
      <c r="A1" s="49" t="str">
        <f>"Attendance for"&amp;" "&amp;TEXT(P4,"mmmm yyyy")&amp;" "&amp;"Month"</f>
        <v>Attendance for March 2025 Month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BB1" s="15"/>
      <c r="BC1" s="42">
        <f>$AY$9/30</f>
        <v>0</v>
      </c>
      <c r="BD1" s="39">
        <f>BC1*30</f>
        <v>0</v>
      </c>
      <c r="BE1" s="39"/>
      <c r="BF1" s="39"/>
    </row>
    <row r="2" spans="1:66" ht="30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X2" s="23" t="s">
        <v>87</v>
      </c>
      <c r="AY2" s="24" t="s">
        <v>40</v>
      </c>
      <c r="AZ2" s="36" t="s">
        <v>70</v>
      </c>
      <c r="BA2" s="36" t="s">
        <v>71</v>
      </c>
      <c r="BB2" s="31" t="s">
        <v>67</v>
      </c>
      <c r="BC2" s="35" t="s">
        <v>68</v>
      </c>
      <c r="BD2" s="32" t="s">
        <v>89</v>
      </c>
      <c r="BE2" s="39"/>
      <c r="BF2" s="39">
        <f>AX9*BC1</f>
        <v>0</v>
      </c>
    </row>
    <row r="3" spans="1:66" x14ac:dyDescent="0.25">
      <c r="AX3" s="37">
        <f>$BC$1*$AV$9</f>
        <v>0</v>
      </c>
      <c r="AY3" s="37">
        <f>$BC$1*$AW$9/2</f>
        <v>0</v>
      </c>
      <c r="AZ3" s="37">
        <f>$BC$1*$AU$9/2</f>
        <v>0</v>
      </c>
      <c r="BA3" s="37">
        <f>$BC$1/8*$BJ$9</f>
        <v>0</v>
      </c>
      <c r="BB3" s="37">
        <f>$BC$1*$AT$9</f>
        <v>0</v>
      </c>
      <c r="BC3" s="15">
        <f>$BC$1*$AS$9</f>
        <v>0</v>
      </c>
      <c r="BD3" s="40">
        <f>(AX3)+(AY3)+(AZ3)+(BC3)</f>
        <v>0</v>
      </c>
      <c r="BE3" s="39"/>
      <c r="BF3" s="39"/>
    </row>
    <row r="4" spans="1:66" x14ac:dyDescent="0.25">
      <c r="L4" s="34" t="s">
        <v>14</v>
      </c>
      <c r="M4" s="34" t="s">
        <v>15</v>
      </c>
      <c r="O4" s="34" t="s">
        <v>0</v>
      </c>
      <c r="P4" s="3">
        <f>DATEVALUE("1"&amp;L5&amp;M5)</f>
        <v>45717</v>
      </c>
      <c r="AX4" s="15"/>
      <c r="AY4" s="15"/>
      <c r="AZ4" s="15"/>
      <c r="BA4" s="15"/>
      <c r="BB4" s="15"/>
      <c r="BC4" s="15"/>
      <c r="BD4" s="32"/>
      <c r="BE4" s="39"/>
      <c r="BF4" s="39"/>
    </row>
    <row r="5" spans="1:66" x14ac:dyDescent="0.25">
      <c r="L5" s="2" t="s">
        <v>4</v>
      </c>
      <c r="M5" s="2">
        <v>2025</v>
      </c>
      <c r="O5" s="34" t="s">
        <v>1</v>
      </c>
      <c r="P5" s="3">
        <f>EOMONTH(P4,0)</f>
        <v>45747</v>
      </c>
      <c r="AX5" s="10"/>
      <c r="AY5" s="10"/>
      <c r="AZ5" s="10"/>
      <c r="BA5" s="10"/>
      <c r="BB5" s="10"/>
      <c r="BC5" s="38"/>
      <c r="BD5" s="10"/>
      <c r="BI5" s="11"/>
      <c r="BJ5" s="11"/>
      <c r="BL5" s="11"/>
    </row>
    <row r="6" spans="1:66" x14ac:dyDescent="0.25">
      <c r="A6" s="32" t="s">
        <v>86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2"/>
      <c r="P6" s="13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X6" s="10"/>
      <c r="AZ6" s="48" t="s">
        <v>44</v>
      </c>
      <c r="BA6" s="48"/>
      <c r="BB6" s="48"/>
      <c r="BE6" s="51" t="s">
        <v>45</v>
      </c>
      <c r="BF6" s="51"/>
      <c r="BG6" s="52"/>
    </row>
    <row r="7" spans="1:6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8" t="str">
        <f t="shared" ref="M7:AQ7" si="0">TEXT(M8,"Ddd")</f>
        <v>Sat</v>
      </c>
      <c r="N7" s="8" t="str">
        <f t="shared" si="0"/>
        <v>Sun</v>
      </c>
      <c r="O7" s="8" t="str">
        <f t="shared" si="0"/>
        <v>Mon</v>
      </c>
      <c r="P7" s="8" t="str">
        <f t="shared" si="0"/>
        <v>Tue</v>
      </c>
      <c r="Q7" s="8" t="str">
        <f t="shared" si="0"/>
        <v>Wed</v>
      </c>
      <c r="R7" s="8" t="str">
        <f t="shared" si="0"/>
        <v>Thu</v>
      </c>
      <c r="S7" s="8" t="str">
        <f t="shared" si="0"/>
        <v>Fri</v>
      </c>
      <c r="T7" s="8" t="str">
        <f t="shared" si="0"/>
        <v>Sat</v>
      </c>
      <c r="U7" s="8" t="str">
        <f t="shared" si="0"/>
        <v>Sun</v>
      </c>
      <c r="V7" s="8" t="str">
        <f t="shared" si="0"/>
        <v>Mon</v>
      </c>
      <c r="W7" s="8" t="str">
        <f t="shared" si="0"/>
        <v>Tue</v>
      </c>
      <c r="X7" s="8" t="str">
        <f t="shared" si="0"/>
        <v>Wed</v>
      </c>
      <c r="Y7" s="8" t="str">
        <f t="shared" si="0"/>
        <v>Thu</v>
      </c>
      <c r="Z7" s="8" t="str">
        <f t="shared" si="0"/>
        <v>Fri</v>
      </c>
      <c r="AA7" s="8" t="str">
        <f t="shared" si="0"/>
        <v>Sat</v>
      </c>
      <c r="AB7" s="8" t="str">
        <f t="shared" si="0"/>
        <v>Sun</v>
      </c>
      <c r="AC7" s="8" t="str">
        <f t="shared" si="0"/>
        <v>Mon</v>
      </c>
      <c r="AD7" s="8" t="str">
        <f t="shared" si="0"/>
        <v>Tue</v>
      </c>
      <c r="AE7" s="8" t="str">
        <f t="shared" si="0"/>
        <v>Wed</v>
      </c>
      <c r="AF7" s="8" t="str">
        <f t="shared" si="0"/>
        <v>Thu</v>
      </c>
      <c r="AG7" s="8" t="str">
        <f t="shared" si="0"/>
        <v>Fri</v>
      </c>
      <c r="AH7" s="8" t="str">
        <f t="shared" si="0"/>
        <v>Sat</v>
      </c>
      <c r="AI7" s="8" t="str">
        <f t="shared" si="0"/>
        <v>Sun</v>
      </c>
      <c r="AJ7" s="8" t="str">
        <f t="shared" si="0"/>
        <v>Mon</v>
      </c>
      <c r="AK7" s="8" t="str">
        <f t="shared" si="0"/>
        <v>Tue</v>
      </c>
      <c r="AL7" s="8" t="str">
        <f t="shared" si="0"/>
        <v>Wed</v>
      </c>
      <c r="AM7" s="8" t="str">
        <f t="shared" si="0"/>
        <v>Thu</v>
      </c>
      <c r="AN7" s="8" t="str">
        <f t="shared" si="0"/>
        <v>Fri</v>
      </c>
      <c r="AO7" s="8" t="str">
        <f t="shared" si="0"/>
        <v>Sat</v>
      </c>
      <c r="AP7" s="8" t="str">
        <f t="shared" si="0"/>
        <v>Sun</v>
      </c>
      <c r="AQ7" s="8" t="str">
        <f t="shared" si="0"/>
        <v>Mon</v>
      </c>
      <c r="AX7" s="10"/>
      <c r="AY7" s="10"/>
      <c r="AZ7" s="28">
        <v>0.03</v>
      </c>
      <c r="BA7" s="28">
        <v>0.05</v>
      </c>
      <c r="BB7" s="28">
        <v>7.0000000000000007E-2</v>
      </c>
      <c r="BC7" s="10"/>
      <c r="BE7" s="29">
        <v>0.12</v>
      </c>
      <c r="BF7" s="29">
        <v>0.02</v>
      </c>
      <c r="BH7" s="10"/>
      <c r="BM7" s="10"/>
      <c r="BN7" s="10"/>
    </row>
    <row r="8" spans="1:66" x14ac:dyDescent="0.25">
      <c r="A8" s="14" t="s">
        <v>16</v>
      </c>
      <c r="B8" s="14" t="s">
        <v>17</v>
      </c>
      <c r="C8" s="14" t="s">
        <v>58</v>
      </c>
      <c r="D8" s="14" t="s">
        <v>59</v>
      </c>
      <c r="E8" s="14" t="s">
        <v>60</v>
      </c>
      <c r="F8" s="14" t="s">
        <v>61</v>
      </c>
      <c r="G8" s="14" t="s">
        <v>18</v>
      </c>
      <c r="H8" s="14" t="s">
        <v>41</v>
      </c>
      <c r="I8" s="14" t="s">
        <v>64</v>
      </c>
      <c r="J8" s="14" t="s">
        <v>63</v>
      </c>
      <c r="K8" s="14" t="s">
        <v>65</v>
      </c>
      <c r="L8" s="14" t="s">
        <v>20</v>
      </c>
      <c r="M8" s="46">
        <f>P4</f>
        <v>45717</v>
      </c>
      <c r="N8" s="46">
        <f t="shared" ref="N8:AM8" si="1">M8+1</f>
        <v>45718</v>
      </c>
      <c r="O8" s="46">
        <f t="shared" si="1"/>
        <v>45719</v>
      </c>
      <c r="P8" s="46">
        <f t="shared" si="1"/>
        <v>45720</v>
      </c>
      <c r="Q8" s="46">
        <f t="shared" si="1"/>
        <v>45721</v>
      </c>
      <c r="R8" s="46">
        <f t="shared" si="1"/>
        <v>45722</v>
      </c>
      <c r="S8" s="46">
        <f t="shared" si="1"/>
        <v>45723</v>
      </c>
      <c r="T8" s="46">
        <f t="shared" si="1"/>
        <v>45724</v>
      </c>
      <c r="U8" s="46">
        <f t="shared" si="1"/>
        <v>45725</v>
      </c>
      <c r="V8" s="46">
        <f t="shared" si="1"/>
        <v>45726</v>
      </c>
      <c r="W8" s="46">
        <f t="shared" si="1"/>
        <v>45727</v>
      </c>
      <c r="X8" s="46">
        <f t="shared" si="1"/>
        <v>45728</v>
      </c>
      <c r="Y8" s="46">
        <f t="shared" si="1"/>
        <v>45729</v>
      </c>
      <c r="Z8" s="46">
        <f t="shared" si="1"/>
        <v>45730</v>
      </c>
      <c r="AA8" s="46">
        <f t="shared" si="1"/>
        <v>45731</v>
      </c>
      <c r="AB8" s="46">
        <f t="shared" si="1"/>
        <v>45732</v>
      </c>
      <c r="AC8" s="46">
        <f t="shared" si="1"/>
        <v>45733</v>
      </c>
      <c r="AD8" s="46">
        <f t="shared" si="1"/>
        <v>45734</v>
      </c>
      <c r="AE8" s="46">
        <f t="shared" si="1"/>
        <v>45735</v>
      </c>
      <c r="AF8" s="46">
        <f t="shared" si="1"/>
        <v>45736</v>
      </c>
      <c r="AG8" s="46">
        <f t="shared" si="1"/>
        <v>45737</v>
      </c>
      <c r="AH8" s="46">
        <f t="shared" si="1"/>
        <v>45738</v>
      </c>
      <c r="AI8" s="46">
        <f t="shared" si="1"/>
        <v>45739</v>
      </c>
      <c r="AJ8" s="46">
        <f t="shared" si="1"/>
        <v>45740</v>
      </c>
      <c r="AK8" s="46">
        <f t="shared" si="1"/>
        <v>45741</v>
      </c>
      <c r="AL8" s="46">
        <f t="shared" si="1"/>
        <v>45742</v>
      </c>
      <c r="AM8" s="46">
        <f t="shared" si="1"/>
        <v>45743</v>
      </c>
      <c r="AN8" s="46">
        <f>IF(AM8&lt;$P$5,AM8+1," ")</f>
        <v>45744</v>
      </c>
      <c r="AO8" s="46">
        <f>IF(AN8&lt;$P$5,AN8+1," ")</f>
        <v>45745</v>
      </c>
      <c r="AP8" s="46">
        <f>IF(AO8&lt;$P$5,AO8+1," ")</f>
        <v>45746</v>
      </c>
      <c r="AQ8" s="46">
        <f>IF(AP8&lt;$P$5,AP8+1," ")</f>
        <v>45747</v>
      </c>
      <c r="AR8" s="21" t="s">
        <v>42</v>
      </c>
      <c r="AS8" s="18" t="s">
        <v>25</v>
      </c>
      <c r="AT8" s="22" t="s">
        <v>38</v>
      </c>
      <c r="AU8" s="23" t="s">
        <v>39</v>
      </c>
      <c r="AV8" s="23" t="s">
        <v>87</v>
      </c>
      <c r="AW8" s="24" t="s">
        <v>40</v>
      </c>
      <c r="AX8" s="25" t="s">
        <v>43</v>
      </c>
      <c r="AY8" s="4" t="s">
        <v>46</v>
      </c>
      <c r="AZ8" s="4" t="s">
        <v>49</v>
      </c>
      <c r="BA8" s="26" t="s">
        <v>50</v>
      </c>
      <c r="BB8" s="8" t="s">
        <v>51</v>
      </c>
      <c r="BC8" s="27" t="s">
        <v>52</v>
      </c>
      <c r="BD8" s="20" t="s">
        <v>53</v>
      </c>
      <c r="BE8" s="7" t="s">
        <v>54</v>
      </c>
      <c r="BF8" s="9" t="s">
        <v>69</v>
      </c>
      <c r="BG8" s="45" t="s">
        <v>95</v>
      </c>
      <c r="BH8" s="27" t="s">
        <v>55</v>
      </c>
      <c r="BI8" s="7" t="s">
        <v>48</v>
      </c>
      <c r="BJ8" s="5" t="s">
        <v>62</v>
      </c>
      <c r="BK8" s="6" t="s">
        <v>47</v>
      </c>
      <c r="BL8" s="19" t="s">
        <v>56</v>
      </c>
      <c r="BM8" s="20" t="s">
        <v>57</v>
      </c>
      <c r="BN8" s="44" t="s">
        <v>91</v>
      </c>
    </row>
    <row r="9" spans="1:66" x14ac:dyDescent="0.25">
      <c r="A9" s="30" t="str">
        <f>$A$6&amp;IF(B9="","",COUNTA($B$9:B9)+100)</f>
        <v>SK-</v>
      </c>
      <c r="B9" s="15"/>
      <c r="C9" s="15"/>
      <c r="D9" s="15"/>
      <c r="E9" s="15"/>
      <c r="F9" s="15"/>
      <c r="G9" s="16"/>
      <c r="H9" s="16"/>
      <c r="I9" s="17"/>
      <c r="J9" s="17"/>
      <c r="K9" s="12" t="str">
        <f>IF($J9=""," ","Emp. Resign this Company")</f>
        <v xml:space="preserve"> </v>
      </c>
      <c r="L9" s="1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5">
        <f>COUNTA(M9:AQ9)</f>
        <v>0</v>
      </c>
      <c r="AS9" s="15">
        <f>COUNTIF(M9:AQ9,"P")</f>
        <v>0</v>
      </c>
      <c r="AT9" s="15">
        <f>COUNTIF(M9:AQ9,"A")</f>
        <v>0</v>
      </c>
      <c r="AU9" s="15">
        <f>COUNTIF(M9:AQ9,"L")</f>
        <v>0</v>
      </c>
      <c r="AV9" s="15">
        <f>COUNTIF(M9:AQ9,"SUN")</f>
        <v>0</v>
      </c>
      <c r="AW9" s="15">
        <f>COUNTIF(M9:AQ9,"H")</f>
        <v>0</v>
      </c>
      <c r="AX9" s="15">
        <f>($AR9-$AT9)-($AW9/2)-($AU9/2)</f>
        <v>0</v>
      </c>
      <c r="AY9" s="15"/>
      <c r="AZ9" s="15">
        <f>$AY9*$AZ$7</f>
        <v>0</v>
      </c>
      <c r="BA9" s="15">
        <f>$AY9*$BA$7</f>
        <v>0</v>
      </c>
      <c r="BB9" s="15">
        <f>$AY9*$BB$7</f>
        <v>0</v>
      </c>
      <c r="BC9" s="15">
        <f>$AZ9+$BA9+$BB9</f>
        <v>0</v>
      </c>
      <c r="BD9" s="37">
        <f>($AY9+$BC9)</f>
        <v>0</v>
      </c>
      <c r="BE9" s="15">
        <f>$AY9*$BE$7</f>
        <v>0</v>
      </c>
      <c r="BF9" s="15">
        <f>$AY9*$BF$7</f>
        <v>0</v>
      </c>
      <c r="BG9" s="41">
        <f>$BC$1*$AT9</f>
        <v>0</v>
      </c>
      <c r="BH9" s="37">
        <f>$BE9+$BF9+$BG9</f>
        <v>0</v>
      </c>
      <c r="BI9" s="1"/>
      <c r="BJ9" s="15"/>
      <c r="BK9" s="15">
        <f>IF($BA$4="",$AY9/30/8*$BJ9,$BA4*$BJ9)</f>
        <v>0</v>
      </c>
      <c r="BL9" s="37">
        <f>($BD9-$BH9)-$BI9</f>
        <v>0</v>
      </c>
      <c r="BM9" s="17"/>
      <c r="BN9" s="15"/>
    </row>
    <row r="10" spans="1:66" x14ac:dyDescent="0.25">
      <c r="A10" s="30" t="str">
        <f>$A$6&amp;IF(B10="","",COUNTA($B$9:B10)+100)</f>
        <v>SK-</v>
      </c>
      <c r="B10" s="15"/>
      <c r="C10" s="15"/>
      <c r="D10" s="15"/>
      <c r="E10" s="15"/>
      <c r="F10" s="15"/>
      <c r="G10" s="16"/>
      <c r="H10" s="16"/>
      <c r="I10" s="17"/>
      <c r="J10" s="17"/>
      <c r="K10" s="12" t="str">
        <f t="shared" ref="K10:K21" si="2">IF($J10=""," ","Emp. Resign this Company")</f>
        <v xml:space="preserve"> </v>
      </c>
      <c r="L10" s="1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5">
        <f t="shared" ref="AR10:AR21" si="3">COUNTA(M10:AQ10)</f>
        <v>0</v>
      </c>
      <c r="AS10" s="15">
        <f t="shared" ref="AS10:AS21" si="4">COUNTIF(M10:AQ10,"P")</f>
        <v>0</v>
      </c>
      <c r="AT10" s="15">
        <f t="shared" ref="AT10:AT21" si="5">COUNTIF(M10:AQ10,"A")</f>
        <v>0</v>
      </c>
      <c r="AU10" s="15">
        <f t="shared" ref="AU10:AU21" si="6">COUNTIF(M10:AQ10,"L")</f>
        <v>0</v>
      </c>
      <c r="AV10" s="15">
        <f t="shared" ref="AV10:AV21" si="7">COUNTIF(M10:AQ10,"SUN")</f>
        <v>0</v>
      </c>
      <c r="AW10" s="15">
        <f t="shared" ref="AW10:AW21" si="8">COUNTIF(M10:AQ10,"H")</f>
        <v>0</v>
      </c>
      <c r="AX10" s="15">
        <f t="shared" ref="AX10:AX21" si="9">($AR10-$AT10)-($AW10/2)-($AU10/2)</f>
        <v>0</v>
      </c>
      <c r="AY10" s="15"/>
      <c r="AZ10" s="15">
        <f t="shared" ref="AZ10:AZ21" si="10">$AY10*$AZ$7</f>
        <v>0</v>
      </c>
      <c r="BA10" s="15">
        <f t="shared" ref="BA10:BA21" si="11">$AY10*$BA$7</f>
        <v>0</v>
      </c>
      <c r="BB10" s="15">
        <f t="shared" ref="BB10:BB21" si="12">$AY10*$BB$7</f>
        <v>0</v>
      </c>
      <c r="BC10" s="15">
        <f t="shared" ref="BC10:BC21" si="13">$AZ10+$BA10+$BB10</f>
        <v>0</v>
      </c>
      <c r="BD10" s="37">
        <f t="shared" ref="BD10:BD21" si="14">($AY10+$BC10)</f>
        <v>0</v>
      </c>
      <c r="BE10" s="15">
        <f t="shared" ref="BE10:BE21" si="15">$AY10*$BE$7</f>
        <v>0</v>
      </c>
      <c r="BF10" s="15">
        <f t="shared" ref="BF10:BF21" si="16">$AY10*$BF$7</f>
        <v>0</v>
      </c>
      <c r="BG10" s="41">
        <f t="shared" ref="BG10:BG21" si="17">$BC$1*$AT10</f>
        <v>0</v>
      </c>
      <c r="BH10" s="37">
        <f t="shared" ref="BH10:BH21" si="18">$BE10+$BF10+$BG10</f>
        <v>0</v>
      </c>
      <c r="BI10" s="1"/>
      <c r="BJ10" s="15"/>
      <c r="BK10" s="15">
        <f t="shared" ref="BK10:BK21" si="19">IF($BA$4="",$AY10/30/8*$BJ10,$BA5*$BJ10)</f>
        <v>0</v>
      </c>
      <c r="BL10" s="37">
        <f t="shared" ref="BL10:BL21" si="20">($BD10-$BH10)-$BI10</f>
        <v>0</v>
      </c>
      <c r="BM10" s="15"/>
      <c r="BN10" s="15"/>
    </row>
    <row r="11" spans="1:66" x14ac:dyDescent="0.25">
      <c r="A11" s="30" t="str">
        <f>$A$6&amp;IF(B11="","",COUNTA($B$9:B11)+100)</f>
        <v>SK-</v>
      </c>
      <c r="B11" s="15"/>
      <c r="C11" s="15"/>
      <c r="D11" s="15"/>
      <c r="E11" s="15"/>
      <c r="F11" s="15"/>
      <c r="G11" s="16"/>
      <c r="H11" s="16"/>
      <c r="I11" s="17"/>
      <c r="J11" s="15"/>
      <c r="K11" s="12" t="str">
        <f t="shared" si="2"/>
        <v xml:space="preserve"> </v>
      </c>
      <c r="L11" s="1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5">
        <f t="shared" si="3"/>
        <v>0</v>
      </c>
      <c r="AS11" s="15">
        <f t="shared" si="4"/>
        <v>0</v>
      </c>
      <c r="AT11" s="15">
        <f t="shared" si="5"/>
        <v>0</v>
      </c>
      <c r="AU11" s="15">
        <f t="shared" si="6"/>
        <v>0</v>
      </c>
      <c r="AV11" s="15">
        <f t="shared" si="7"/>
        <v>0</v>
      </c>
      <c r="AW11" s="15">
        <f t="shared" si="8"/>
        <v>0</v>
      </c>
      <c r="AX11" s="15">
        <f t="shared" si="9"/>
        <v>0</v>
      </c>
      <c r="AY11" s="15"/>
      <c r="AZ11" s="15">
        <f t="shared" si="10"/>
        <v>0</v>
      </c>
      <c r="BA11" s="15">
        <f t="shared" si="11"/>
        <v>0</v>
      </c>
      <c r="BB11" s="15">
        <f t="shared" si="12"/>
        <v>0</v>
      </c>
      <c r="BC11" s="15">
        <f t="shared" si="13"/>
        <v>0</v>
      </c>
      <c r="BD11" s="37">
        <f t="shared" si="14"/>
        <v>0</v>
      </c>
      <c r="BE11" s="15">
        <f t="shared" si="15"/>
        <v>0</v>
      </c>
      <c r="BF11" s="15">
        <f t="shared" si="16"/>
        <v>0</v>
      </c>
      <c r="BG11" s="41">
        <f t="shared" si="17"/>
        <v>0</v>
      </c>
      <c r="BH11" s="37">
        <f t="shared" si="18"/>
        <v>0</v>
      </c>
      <c r="BI11" s="1"/>
      <c r="BJ11" s="15"/>
      <c r="BK11" s="15">
        <f t="shared" si="19"/>
        <v>0</v>
      </c>
      <c r="BL11" s="37">
        <f t="shared" si="20"/>
        <v>0</v>
      </c>
      <c r="BM11" s="15"/>
      <c r="BN11" s="15"/>
    </row>
    <row r="12" spans="1:66" x14ac:dyDescent="0.25">
      <c r="A12" s="30" t="str">
        <f>$A$6&amp;IF(B12="","",COUNTA($B$9:B12)+100)</f>
        <v>SK-</v>
      </c>
      <c r="B12" s="15"/>
      <c r="C12" s="15"/>
      <c r="D12" s="15"/>
      <c r="E12" s="15"/>
      <c r="F12" s="15"/>
      <c r="G12" s="16"/>
      <c r="H12" s="16"/>
      <c r="I12" s="17"/>
      <c r="J12" s="15"/>
      <c r="K12" s="12" t="str">
        <f t="shared" si="2"/>
        <v xml:space="preserve"> </v>
      </c>
      <c r="L12" s="1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5">
        <f t="shared" si="3"/>
        <v>0</v>
      </c>
      <c r="AS12" s="15">
        <f t="shared" si="4"/>
        <v>0</v>
      </c>
      <c r="AT12" s="15">
        <f t="shared" si="5"/>
        <v>0</v>
      </c>
      <c r="AU12" s="15">
        <f t="shared" si="6"/>
        <v>0</v>
      </c>
      <c r="AV12" s="15">
        <f t="shared" si="7"/>
        <v>0</v>
      </c>
      <c r="AW12" s="15">
        <f>COUNTIF(M12:AQ12,"H")</f>
        <v>0</v>
      </c>
      <c r="AX12" s="15">
        <f t="shared" si="9"/>
        <v>0</v>
      </c>
      <c r="AY12" s="15"/>
      <c r="AZ12" s="15">
        <f t="shared" si="10"/>
        <v>0</v>
      </c>
      <c r="BA12" s="15">
        <f t="shared" si="11"/>
        <v>0</v>
      </c>
      <c r="BB12" s="15">
        <f t="shared" si="12"/>
        <v>0</v>
      </c>
      <c r="BC12" s="15">
        <f t="shared" si="13"/>
        <v>0</v>
      </c>
      <c r="BD12" s="37">
        <f t="shared" si="14"/>
        <v>0</v>
      </c>
      <c r="BE12" s="15">
        <f t="shared" si="15"/>
        <v>0</v>
      </c>
      <c r="BF12" s="15">
        <f t="shared" si="16"/>
        <v>0</v>
      </c>
      <c r="BG12" s="41">
        <f t="shared" si="17"/>
        <v>0</v>
      </c>
      <c r="BH12" s="37">
        <f t="shared" si="18"/>
        <v>0</v>
      </c>
      <c r="BI12" s="1"/>
      <c r="BJ12" s="15"/>
      <c r="BK12" s="15">
        <f t="shared" si="19"/>
        <v>0</v>
      </c>
      <c r="BL12" s="37">
        <f t="shared" si="20"/>
        <v>0</v>
      </c>
      <c r="BM12" s="15"/>
      <c r="BN12" s="15"/>
    </row>
    <row r="13" spans="1:66" x14ac:dyDescent="0.25">
      <c r="A13" s="30" t="str">
        <f>$A$6&amp;IF(B13="","",COUNTA($B$9:B13)+100)</f>
        <v>SK-</v>
      </c>
      <c r="B13" s="15"/>
      <c r="C13" s="15"/>
      <c r="D13" s="15"/>
      <c r="E13" s="15"/>
      <c r="F13" s="15"/>
      <c r="G13" s="16"/>
      <c r="H13" s="16"/>
      <c r="I13" s="17"/>
      <c r="J13" s="17"/>
      <c r="K13" s="12" t="str">
        <f t="shared" si="2"/>
        <v xml:space="preserve"> </v>
      </c>
      <c r="L13" s="1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5">
        <f t="shared" si="3"/>
        <v>0</v>
      </c>
      <c r="AS13" s="15">
        <f t="shared" si="4"/>
        <v>0</v>
      </c>
      <c r="AT13" s="15">
        <f t="shared" si="5"/>
        <v>0</v>
      </c>
      <c r="AU13" s="15">
        <f t="shared" si="6"/>
        <v>0</v>
      </c>
      <c r="AV13" s="15">
        <f t="shared" si="7"/>
        <v>0</v>
      </c>
      <c r="AW13" s="15">
        <f t="shared" si="8"/>
        <v>0</v>
      </c>
      <c r="AX13" s="15">
        <f t="shared" si="9"/>
        <v>0</v>
      </c>
      <c r="AY13" s="15"/>
      <c r="AZ13" s="15">
        <f t="shared" si="10"/>
        <v>0</v>
      </c>
      <c r="BA13" s="15">
        <f t="shared" si="11"/>
        <v>0</v>
      </c>
      <c r="BB13" s="15">
        <f t="shared" si="12"/>
        <v>0</v>
      </c>
      <c r="BC13" s="15">
        <f t="shared" si="13"/>
        <v>0</v>
      </c>
      <c r="BD13" s="37">
        <f t="shared" si="14"/>
        <v>0</v>
      </c>
      <c r="BE13" s="15">
        <f t="shared" si="15"/>
        <v>0</v>
      </c>
      <c r="BF13" s="15">
        <f t="shared" si="16"/>
        <v>0</v>
      </c>
      <c r="BG13" s="41">
        <f t="shared" si="17"/>
        <v>0</v>
      </c>
      <c r="BH13" s="37">
        <f t="shared" si="18"/>
        <v>0</v>
      </c>
      <c r="BI13" s="1"/>
      <c r="BJ13" s="15"/>
      <c r="BK13" s="15">
        <f t="shared" si="19"/>
        <v>0</v>
      </c>
      <c r="BL13" s="37">
        <f t="shared" si="20"/>
        <v>0</v>
      </c>
      <c r="BM13" s="15"/>
      <c r="BN13" s="15"/>
    </row>
    <row r="14" spans="1:66" x14ac:dyDescent="0.25">
      <c r="A14" s="30" t="str">
        <f>$A$6&amp;IF(B14="","",COUNTA($B$9:B14)+100)</f>
        <v>SK-</v>
      </c>
      <c r="B14" s="15"/>
      <c r="C14" s="15"/>
      <c r="D14" s="15"/>
      <c r="E14" s="15"/>
      <c r="F14" s="15"/>
      <c r="G14" s="16"/>
      <c r="H14" s="16"/>
      <c r="I14" s="17"/>
      <c r="J14" s="15"/>
      <c r="K14" s="12" t="str">
        <f t="shared" si="2"/>
        <v xml:space="preserve"> </v>
      </c>
      <c r="L14" s="1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5">
        <f t="shared" si="3"/>
        <v>0</v>
      </c>
      <c r="AS14" s="15">
        <f t="shared" si="4"/>
        <v>0</v>
      </c>
      <c r="AT14" s="15">
        <f t="shared" si="5"/>
        <v>0</v>
      </c>
      <c r="AU14" s="15">
        <f t="shared" si="6"/>
        <v>0</v>
      </c>
      <c r="AV14" s="15">
        <f t="shared" si="7"/>
        <v>0</v>
      </c>
      <c r="AW14" s="15">
        <f t="shared" si="8"/>
        <v>0</v>
      </c>
      <c r="AX14" s="15">
        <f t="shared" si="9"/>
        <v>0</v>
      </c>
      <c r="AY14" s="15"/>
      <c r="AZ14" s="15">
        <f t="shared" si="10"/>
        <v>0</v>
      </c>
      <c r="BA14" s="15">
        <f t="shared" si="11"/>
        <v>0</v>
      </c>
      <c r="BB14" s="15">
        <f t="shared" si="12"/>
        <v>0</v>
      </c>
      <c r="BC14" s="15">
        <f t="shared" si="13"/>
        <v>0</v>
      </c>
      <c r="BD14" s="37">
        <f t="shared" si="14"/>
        <v>0</v>
      </c>
      <c r="BE14" s="15">
        <f t="shared" si="15"/>
        <v>0</v>
      </c>
      <c r="BF14" s="15">
        <f t="shared" si="16"/>
        <v>0</v>
      </c>
      <c r="BG14" s="41">
        <f t="shared" si="17"/>
        <v>0</v>
      </c>
      <c r="BH14" s="37">
        <f t="shared" si="18"/>
        <v>0</v>
      </c>
      <c r="BI14" s="1"/>
      <c r="BJ14" s="15"/>
      <c r="BK14" s="15">
        <f t="shared" si="19"/>
        <v>0</v>
      </c>
      <c r="BL14" s="37">
        <f t="shared" si="20"/>
        <v>0</v>
      </c>
      <c r="BM14" s="15"/>
      <c r="BN14" s="15"/>
    </row>
    <row r="15" spans="1:66" x14ac:dyDescent="0.25">
      <c r="A15" s="30" t="str">
        <f>$A$6&amp;IF(B15="","",COUNTA($B$9:B15)+100)</f>
        <v>SK-</v>
      </c>
      <c r="B15" s="15"/>
      <c r="C15" s="15"/>
      <c r="D15" s="15"/>
      <c r="E15" s="15"/>
      <c r="F15" s="15"/>
      <c r="G15" s="16"/>
      <c r="H15" s="16"/>
      <c r="I15" s="17"/>
      <c r="J15" s="15"/>
      <c r="K15" s="12" t="str">
        <f t="shared" si="2"/>
        <v xml:space="preserve"> </v>
      </c>
      <c r="L15" s="1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5">
        <f t="shared" si="3"/>
        <v>0</v>
      </c>
      <c r="AS15" s="15">
        <f t="shared" si="4"/>
        <v>0</v>
      </c>
      <c r="AT15" s="15">
        <f t="shared" si="5"/>
        <v>0</v>
      </c>
      <c r="AU15" s="15">
        <f t="shared" si="6"/>
        <v>0</v>
      </c>
      <c r="AV15" s="15">
        <f t="shared" si="7"/>
        <v>0</v>
      </c>
      <c r="AW15" s="15">
        <f t="shared" si="8"/>
        <v>0</v>
      </c>
      <c r="AX15" s="15">
        <f t="shared" si="9"/>
        <v>0</v>
      </c>
      <c r="AY15" s="15"/>
      <c r="AZ15" s="15">
        <f t="shared" si="10"/>
        <v>0</v>
      </c>
      <c r="BA15" s="15">
        <f t="shared" si="11"/>
        <v>0</v>
      </c>
      <c r="BB15" s="15">
        <f t="shared" si="12"/>
        <v>0</v>
      </c>
      <c r="BC15" s="15">
        <f t="shared" si="13"/>
        <v>0</v>
      </c>
      <c r="BD15" s="37">
        <f t="shared" si="14"/>
        <v>0</v>
      </c>
      <c r="BE15" s="15">
        <f t="shared" si="15"/>
        <v>0</v>
      </c>
      <c r="BF15" s="15">
        <f t="shared" si="16"/>
        <v>0</v>
      </c>
      <c r="BG15" s="41">
        <f t="shared" si="17"/>
        <v>0</v>
      </c>
      <c r="BH15" s="37">
        <f t="shared" si="18"/>
        <v>0</v>
      </c>
      <c r="BI15" s="1"/>
      <c r="BJ15" s="15"/>
      <c r="BK15" s="15">
        <f t="shared" si="19"/>
        <v>0</v>
      </c>
      <c r="BL15" s="37">
        <f t="shared" si="20"/>
        <v>0</v>
      </c>
      <c r="BM15" s="15"/>
      <c r="BN15" s="15"/>
    </row>
    <row r="16" spans="1:66" x14ac:dyDescent="0.25">
      <c r="A16" s="30" t="str">
        <f>$A$6&amp;IF(B16="","",COUNTA($B$9:B16)+100)</f>
        <v>SK-</v>
      </c>
      <c r="B16" s="15"/>
      <c r="C16" s="15"/>
      <c r="D16" s="15"/>
      <c r="E16" s="15"/>
      <c r="F16" s="15"/>
      <c r="G16" s="16"/>
      <c r="H16" s="16"/>
      <c r="I16" s="17"/>
      <c r="J16" s="15"/>
      <c r="K16" s="12" t="str">
        <f t="shared" si="2"/>
        <v xml:space="preserve"> </v>
      </c>
      <c r="L16" s="1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5">
        <f t="shared" si="3"/>
        <v>0</v>
      </c>
      <c r="AS16" s="15">
        <f t="shared" si="4"/>
        <v>0</v>
      </c>
      <c r="AT16" s="15">
        <f t="shared" si="5"/>
        <v>0</v>
      </c>
      <c r="AU16" s="15">
        <f t="shared" si="6"/>
        <v>0</v>
      </c>
      <c r="AV16" s="15">
        <f t="shared" si="7"/>
        <v>0</v>
      </c>
      <c r="AW16" s="15">
        <f t="shared" si="8"/>
        <v>0</v>
      </c>
      <c r="AX16" s="15">
        <f t="shared" si="9"/>
        <v>0</v>
      </c>
      <c r="AY16" s="15"/>
      <c r="AZ16" s="15">
        <f t="shared" si="10"/>
        <v>0</v>
      </c>
      <c r="BA16" s="15">
        <f t="shared" si="11"/>
        <v>0</v>
      </c>
      <c r="BB16" s="15">
        <f t="shared" si="12"/>
        <v>0</v>
      </c>
      <c r="BC16" s="15">
        <f t="shared" si="13"/>
        <v>0</v>
      </c>
      <c r="BD16" s="37">
        <f t="shared" si="14"/>
        <v>0</v>
      </c>
      <c r="BE16" s="15">
        <f t="shared" si="15"/>
        <v>0</v>
      </c>
      <c r="BF16" s="15">
        <f t="shared" si="16"/>
        <v>0</v>
      </c>
      <c r="BG16" s="41">
        <f t="shared" si="17"/>
        <v>0</v>
      </c>
      <c r="BH16" s="37">
        <f t="shared" si="18"/>
        <v>0</v>
      </c>
      <c r="BI16" s="1"/>
      <c r="BJ16" s="15"/>
      <c r="BK16" s="15">
        <f t="shared" si="19"/>
        <v>0</v>
      </c>
      <c r="BL16" s="37">
        <f t="shared" si="20"/>
        <v>0</v>
      </c>
      <c r="BM16" s="15"/>
      <c r="BN16" s="15"/>
    </row>
    <row r="17" spans="1:66" x14ac:dyDescent="0.25">
      <c r="A17" s="30" t="str">
        <f>$A$6&amp;IF(B17="","",COUNTA($B$9:B17)+100)</f>
        <v>SK-</v>
      </c>
      <c r="B17" s="15"/>
      <c r="C17" s="15"/>
      <c r="D17" s="15"/>
      <c r="E17" s="15"/>
      <c r="F17" s="15"/>
      <c r="G17" s="16"/>
      <c r="H17" s="16"/>
      <c r="I17" s="17"/>
      <c r="J17" s="15"/>
      <c r="K17" s="12" t="str">
        <f t="shared" si="2"/>
        <v xml:space="preserve"> </v>
      </c>
      <c r="L17" s="1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5">
        <f t="shared" si="3"/>
        <v>0</v>
      </c>
      <c r="AS17" s="15">
        <f t="shared" si="4"/>
        <v>0</v>
      </c>
      <c r="AT17" s="15">
        <f t="shared" si="5"/>
        <v>0</v>
      </c>
      <c r="AU17" s="15">
        <f t="shared" si="6"/>
        <v>0</v>
      </c>
      <c r="AV17" s="15">
        <f t="shared" si="7"/>
        <v>0</v>
      </c>
      <c r="AW17" s="15">
        <f t="shared" si="8"/>
        <v>0</v>
      </c>
      <c r="AX17" s="15">
        <f t="shared" si="9"/>
        <v>0</v>
      </c>
      <c r="AY17" s="15"/>
      <c r="AZ17" s="15">
        <f t="shared" si="10"/>
        <v>0</v>
      </c>
      <c r="BA17" s="15">
        <f t="shared" si="11"/>
        <v>0</v>
      </c>
      <c r="BB17" s="15">
        <f t="shared" si="12"/>
        <v>0</v>
      </c>
      <c r="BC17" s="15">
        <f t="shared" si="13"/>
        <v>0</v>
      </c>
      <c r="BD17" s="37">
        <f t="shared" si="14"/>
        <v>0</v>
      </c>
      <c r="BE17" s="15">
        <f t="shared" si="15"/>
        <v>0</v>
      </c>
      <c r="BF17" s="15">
        <f t="shared" si="16"/>
        <v>0</v>
      </c>
      <c r="BG17" s="41">
        <f t="shared" si="17"/>
        <v>0</v>
      </c>
      <c r="BH17" s="37">
        <f t="shared" si="18"/>
        <v>0</v>
      </c>
      <c r="BI17" s="1"/>
      <c r="BJ17" s="15"/>
      <c r="BK17" s="15">
        <f t="shared" si="19"/>
        <v>0</v>
      </c>
      <c r="BL17" s="37">
        <f t="shared" si="20"/>
        <v>0</v>
      </c>
      <c r="BM17" s="15"/>
      <c r="BN17" s="15"/>
    </row>
    <row r="18" spans="1:66" x14ac:dyDescent="0.25">
      <c r="A18" s="30" t="str">
        <f>$A$6&amp;IF(B18="","",COUNTA($B$9:B18)+100)</f>
        <v>SK-</v>
      </c>
      <c r="B18" s="15"/>
      <c r="C18" s="15"/>
      <c r="D18" s="15"/>
      <c r="E18" s="15"/>
      <c r="F18" s="15"/>
      <c r="G18" s="16"/>
      <c r="H18" s="16"/>
      <c r="I18" s="17"/>
      <c r="J18" s="15"/>
      <c r="K18" s="12" t="str">
        <f t="shared" si="2"/>
        <v xml:space="preserve"> </v>
      </c>
      <c r="L18" s="1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5">
        <f t="shared" si="3"/>
        <v>0</v>
      </c>
      <c r="AS18" s="15">
        <f t="shared" si="4"/>
        <v>0</v>
      </c>
      <c r="AT18" s="15">
        <f t="shared" si="5"/>
        <v>0</v>
      </c>
      <c r="AU18" s="15">
        <f t="shared" si="6"/>
        <v>0</v>
      </c>
      <c r="AV18" s="15">
        <f t="shared" si="7"/>
        <v>0</v>
      </c>
      <c r="AW18" s="15">
        <f t="shared" si="8"/>
        <v>0</v>
      </c>
      <c r="AX18" s="15">
        <f t="shared" si="9"/>
        <v>0</v>
      </c>
      <c r="AY18" s="15"/>
      <c r="AZ18" s="15">
        <f t="shared" si="10"/>
        <v>0</v>
      </c>
      <c r="BA18" s="15">
        <f t="shared" si="11"/>
        <v>0</v>
      </c>
      <c r="BB18" s="15">
        <f t="shared" si="12"/>
        <v>0</v>
      </c>
      <c r="BC18" s="15">
        <f t="shared" si="13"/>
        <v>0</v>
      </c>
      <c r="BD18" s="37">
        <f t="shared" si="14"/>
        <v>0</v>
      </c>
      <c r="BE18" s="15">
        <f t="shared" si="15"/>
        <v>0</v>
      </c>
      <c r="BF18" s="15">
        <f t="shared" si="16"/>
        <v>0</v>
      </c>
      <c r="BG18" s="41">
        <f t="shared" si="17"/>
        <v>0</v>
      </c>
      <c r="BH18" s="37">
        <f t="shared" si="18"/>
        <v>0</v>
      </c>
      <c r="BI18" s="1"/>
      <c r="BJ18" s="15"/>
      <c r="BK18" s="15">
        <f t="shared" si="19"/>
        <v>0</v>
      </c>
      <c r="BL18" s="37">
        <f t="shared" si="20"/>
        <v>0</v>
      </c>
      <c r="BM18" s="15"/>
      <c r="BN18" s="15"/>
    </row>
    <row r="19" spans="1:66" x14ac:dyDescent="0.25">
      <c r="A19" s="30" t="str">
        <f>$A$6&amp;IF(B19="","",COUNTA($B$9:B19)+100)</f>
        <v>SK-</v>
      </c>
      <c r="B19" s="15"/>
      <c r="C19" s="15"/>
      <c r="D19" s="15"/>
      <c r="E19" s="15"/>
      <c r="F19" s="15"/>
      <c r="G19" s="16"/>
      <c r="H19" s="16"/>
      <c r="I19" s="17"/>
      <c r="J19" s="15"/>
      <c r="K19" s="12" t="str">
        <f t="shared" si="2"/>
        <v xml:space="preserve"> </v>
      </c>
      <c r="L19" s="1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5">
        <f t="shared" si="3"/>
        <v>0</v>
      </c>
      <c r="AS19" s="15">
        <f t="shared" si="4"/>
        <v>0</v>
      </c>
      <c r="AT19" s="15">
        <f t="shared" si="5"/>
        <v>0</v>
      </c>
      <c r="AU19" s="15">
        <f t="shared" si="6"/>
        <v>0</v>
      </c>
      <c r="AV19" s="15">
        <f t="shared" si="7"/>
        <v>0</v>
      </c>
      <c r="AW19" s="15">
        <f t="shared" si="8"/>
        <v>0</v>
      </c>
      <c r="AX19" s="15">
        <f t="shared" si="9"/>
        <v>0</v>
      </c>
      <c r="AY19" s="15"/>
      <c r="AZ19" s="15">
        <f t="shared" si="10"/>
        <v>0</v>
      </c>
      <c r="BA19" s="15">
        <f t="shared" si="11"/>
        <v>0</v>
      </c>
      <c r="BB19" s="15">
        <f t="shared" si="12"/>
        <v>0</v>
      </c>
      <c r="BC19" s="15">
        <f t="shared" si="13"/>
        <v>0</v>
      </c>
      <c r="BD19" s="37">
        <f t="shared" si="14"/>
        <v>0</v>
      </c>
      <c r="BE19" s="15">
        <f t="shared" si="15"/>
        <v>0</v>
      </c>
      <c r="BF19" s="15">
        <f t="shared" si="16"/>
        <v>0</v>
      </c>
      <c r="BG19" s="41">
        <f t="shared" si="17"/>
        <v>0</v>
      </c>
      <c r="BH19" s="37">
        <f t="shared" si="18"/>
        <v>0</v>
      </c>
      <c r="BI19" s="1"/>
      <c r="BJ19" s="15"/>
      <c r="BK19" s="15">
        <f t="shared" si="19"/>
        <v>0</v>
      </c>
      <c r="BL19" s="37">
        <f t="shared" si="20"/>
        <v>0</v>
      </c>
      <c r="BM19" s="15"/>
      <c r="BN19" s="15"/>
    </row>
    <row r="20" spans="1:66" x14ac:dyDescent="0.25">
      <c r="A20" s="30" t="str">
        <f>$A$6&amp;IF(B20="","",COUNTA($B$9:B20)+100)</f>
        <v>SK-</v>
      </c>
      <c r="B20" s="15"/>
      <c r="C20" s="15"/>
      <c r="D20" s="15"/>
      <c r="E20" s="15"/>
      <c r="F20" s="15"/>
      <c r="G20" s="16"/>
      <c r="H20" s="16"/>
      <c r="I20" s="17"/>
      <c r="J20" s="15"/>
      <c r="K20" s="12" t="str">
        <f t="shared" si="2"/>
        <v xml:space="preserve"> </v>
      </c>
      <c r="L20" s="1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5">
        <f t="shared" si="3"/>
        <v>0</v>
      </c>
      <c r="AS20" s="15">
        <f t="shared" si="4"/>
        <v>0</v>
      </c>
      <c r="AT20" s="15">
        <f t="shared" si="5"/>
        <v>0</v>
      </c>
      <c r="AU20" s="15">
        <f t="shared" si="6"/>
        <v>0</v>
      </c>
      <c r="AV20" s="15">
        <f t="shared" si="7"/>
        <v>0</v>
      </c>
      <c r="AW20" s="15">
        <f t="shared" si="8"/>
        <v>0</v>
      </c>
      <c r="AX20" s="15">
        <f t="shared" si="9"/>
        <v>0</v>
      </c>
      <c r="AY20" s="15"/>
      <c r="AZ20" s="15">
        <f t="shared" si="10"/>
        <v>0</v>
      </c>
      <c r="BA20" s="15">
        <f t="shared" si="11"/>
        <v>0</v>
      </c>
      <c r="BB20" s="15">
        <f t="shared" si="12"/>
        <v>0</v>
      </c>
      <c r="BC20" s="15">
        <f t="shared" si="13"/>
        <v>0</v>
      </c>
      <c r="BD20" s="37">
        <f t="shared" si="14"/>
        <v>0</v>
      </c>
      <c r="BE20" s="15">
        <f t="shared" si="15"/>
        <v>0</v>
      </c>
      <c r="BF20" s="15">
        <f t="shared" si="16"/>
        <v>0</v>
      </c>
      <c r="BG20" s="41">
        <f t="shared" si="17"/>
        <v>0</v>
      </c>
      <c r="BH20" s="37">
        <f t="shared" si="18"/>
        <v>0</v>
      </c>
      <c r="BI20" s="1"/>
      <c r="BJ20" s="15"/>
      <c r="BK20" s="15">
        <f t="shared" si="19"/>
        <v>0</v>
      </c>
      <c r="BL20" s="37">
        <f t="shared" si="20"/>
        <v>0</v>
      </c>
      <c r="BM20" s="15"/>
      <c r="BN20" s="15"/>
    </row>
    <row r="21" spans="1:66" x14ac:dyDescent="0.25">
      <c r="A21" s="30" t="str">
        <f>$A$6&amp;IF(B21="","",COUNTA($B$9:B21)+100)</f>
        <v>SK-</v>
      </c>
      <c r="B21" s="15"/>
      <c r="C21" s="15"/>
      <c r="D21" s="15"/>
      <c r="E21" s="15"/>
      <c r="F21" s="15"/>
      <c r="G21" s="16"/>
      <c r="H21" s="16"/>
      <c r="I21" s="17"/>
      <c r="J21" s="15"/>
      <c r="K21" s="12" t="str">
        <f t="shared" si="2"/>
        <v xml:space="preserve"> </v>
      </c>
      <c r="L21" s="1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5">
        <f t="shared" si="3"/>
        <v>0</v>
      </c>
      <c r="AS21" s="15">
        <f t="shared" si="4"/>
        <v>0</v>
      </c>
      <c r="AT21" s="15">
        <f t="shared" si="5"/>
        <v>0</v>
      </c>
      <c r="AU21" s="15">
        <f t="shared" si="6"/>
        <v>0</v>
      </c>
      <c r="AV21" s="15">
        <f t="shared" si="7"/>
        <v>0</v>
      </c>
      <c r="AW21" s="15">
        <f t="shared" si="8"/>
        <v>0</v>
      </c>
      <c r="AX21" s="15">
        <f t="shared" si="9"/>
        <v>0</v>
      </c>
      <c r="AY21" s="15"/>
      <c r="AZ21" s="15">
        <f t="shared" si="10"/>
        <v>0</v>
      </c>
      <c r="BA21" s="15">
        <f t="shared" si="11"/>
        <v>0</v>
      </c>
      <c r="BB21" s="15">
        <f t="shared" si="12"/>
        <v>0</v>
      </c>
      <c r="BC21" s="15">
        <f t="shared" si="13"/>
        <v>0</v>
      </c>
      <c r="BD21" s="37">
        <f t="shared" si="14"/>
        <v>0</v>
      </c>
      <c r="BE21" s="15">
        <f t="shared" si="15"/>
        <v>0</v>
      </c>
      <c r="BF21" s="15">
        <f t="shared" si="16"/>
        <v>0</v>
      </c>
      <c r="BG21" s="41">
        <f t="shared" si="17"/>
        <v>0</v>
      </c>
      <c r="BH21" s="37">
        <f t="shared" si="18"/>
        <v>0</v>
      </c>
      <c r="BI21" s="1"/>
      <c r="BJ21" s="15"/>
      <c r="BK21" s="15">
        <f t="shared" si="19"/>
        <v>0</v>
      </c>
      <c r="BL21" s="37">
        <f t="shared" si="20"/>
        <v>0</v>
      </c>
      <c r="BM21" s="15"/>
      <c r="BN21" s="15"/>
    </row>
  </sheetData>
  <mergeCells count="3">
    <mergeCell ref="A1:AR2"/>
    <mergeCell ref="AZ6:BB6"/>
    <mergeCell ref="BE6:BG6"/>
  </mergeCells>
  <conditionalFormatting sqref="A9:A21">
    <cfRule type="expression" dxfId="129" priority="9">
      <formula>A9="SK-"</formula>
    </cfRule>
  </conditionalFormatting>
  <conditionalFormatting sqref="K9:K21">
    <cfRule type="expression" dxfId="128" priority="10">
      <formula>K9:K21="Emp. Resign this Company"</formula>
    </cfRule>
  </conditionalFormatting>
  <conditionalFormatting sqref="M9:AQ21">
    <cfRule type="expression" dxfId="127" priority="5">
      <formula>M9="P"</formula>
    </cfRule>
    <cfRule type="expression" dxfId="126" priority="6">
      <formula>M9="L"</formula>
    </cfRule>
    <cfRule type="expression" dxfId="125" priority="7">
      <formula>M9="H"</formula>
    </cfRule>
    <cfRule type="expression" dxfId="124" priority="8">
      <formula>M9="A"</formula>
    </cfRule>
    <cfRule type="expression" dxfId="123" priority="13">
      <formula>M$7="sun"</formula>
    </cfRule>
  </conditionalFormatting>
  <conditionalFormatting sqref="AO8">
    <cfRule type="expression" dxfId="122" priority="12">
      <formula>$AO$8=DATEVLUE(1/29/2024)</formula>
    </cfRule>
  </conditionalFormatting>
  <conditionalFormatting sqref="AP8">
    <cfRule type="expression" dxfId="121" priority="11">
      <formula>$AP$8=DATEVALUE("2/30/2024")</formula>
    </cfRule>
  </conditionalFormatting>
  <conditionalFormatting sqref="AR9:BL21">
    <cfRule type="expression" dxfId="120" priority="4">
      <formula>AR9=0</formula>
    </cfRule>
  </conditionalFormatting>
  <conditionalFormatting sqref="BM9:BN21">
    <cfRule type="expression" dxfId="119" priority="1">
      <formula>$BN9="Process"</formula>
    </cfRule>
    <cfRule type="expression" dxfId="118" priority="2">
      <formula>$BN9="Pending"</formula>
    </cfRule>
    <cfRule type="expression" dxfId="117" priority="3">
      <formula>$BN9="done"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'data sheet'!$D$2:$D$4</xm:f>
          </x14:formula1>
          <xm:sqref>BN9:BN21</xm:sqref>
        </x14:dataValidation>
        <x14:dataValidation type="list" allowBlank="1" showInputMessage="1" showErrorMessage="1">
          <x14:formula1>
            <xm:f>'data sheet'!$Q$1:$Q$12</xm:f>
          </x14:formula1>
          <xm:sqref>L5</xm:sqref>
        </x14:dataValidation>
        <x14:dataValidation type="list" allowBlank="1" showInputMessage="1" showErrorMessage="1">
          <x14:formula1>
            <xm:f>'data sheet'!$P$1:$P$99</xm:f>
          </x14:formula1>
          <xm:sqref>M5</xm:sqref>
        </x14:dataValidation>
        <x14:dataValidation type="list" allowBlank="1" showInputMessage="1" showErrorMessage="1">
          <x14:formula1>
            <xm:f>'data sheet'!$C$2:$C$9</xm:f>
          </x14:formula1>
          <xm:sqref>D9:D21</xm:sqref>
        </x14:dataValidation>
        <x14:dataValidation type="list" allowBlank="1" showInputMessage="1" showErrorMessage="1">
          <x14:formula1>
            <xm:f>'data sheet'!$B$2:$B$6</xm:f>
          </x14:formula1>
          <xm:sqref>C9:C21</xm:sqref>
        </x14:dataValidation>
        <x14:dataValidation type="list" allowBlank="1" showInputMessage="1" showErrorMessage="1">
          <x14:formula1>
            <xm:f>'data sheet'!$A$2:$A$14</xm:f>
          </x14:formula1>
          <xm:sqref>B9:B21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21"/>
  <sheetViews>
    <sheetView workbookViewId="0">
      <selection activeCell="M5" sqref="M5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5.85546875" bestFit="1" customWidth="1"/>
    <col min="4" max="4" width="4.85546875" bestFit="1" customWidth="1"/>
    <col min="5" max="5" width="7.7109375" bestFit="1" customWidth="1"/>
    <col min="6" max="6" width="7.140625" bestFit="1" customWidth="1"/>
    <col min="7" max="7" width="7.28515625" bestFit="1" customWidth="1"/>
    <col min="9" max="9" width="9" bestFit="1" customWidth="1"/>
    <col min="10" max="10" width="9.7109375" bestFit="1" customWidth="1"/>
    <col min="11" max="11" width="11.42578125" bestFit="1" customWidth="1"/>
    <col min="12" max="12" width="7" bestFit="1" customWidth="1"/>
    <col min="13" max="43" width="10.42578125" bestFit="1" customWidth="1"/>
    <col min="44" max="44" width="9.85546875" bestFit="1" customWidth="1"/>
    <col min="45" max="45" width="7.85546875" bestFit="1" customWidth="1"/>
    <col min="46" max="46" width="7.28515625" bestFit="1" customWidth="1"/>
    <col min="47" max="47" width="6.140625" bestFit="1" customWidth="1"/>
    <col min="48" max="48" width="7.42578125" bestFit="1" customWidth="1"/>
    <col min="49" max="49" width="8.140625" bestFit="1" customWidth="1"/>
    <col min="50" max="50" width="12.7109375" bestFit="1" customWidth="1"/>
    <col min="51" max="51" width="11.140625" bestFit="1" customWidth="1"/>
    <col min="52" max="52" width="19.7109375" bestFit="1" customWidth="1"/>
    <col min="53" max="53" width="21.85546875" bestFit="1" customWidth="1"/>
    <col min="54" max="54" width="22" bestFit="1" customWidth="1"/>
    <col min="55" max="55" width="27.5703125" bestFit="1" customWidth="1"/>
    <col min="56" max="56" width="8.7109375" bestFit="1" customWidth="1"/>
    <col min="57" max="57" width="4.5703125" bestFit="1" customWidth="1"/>
    <col min="58" max="58" width="4.7109375" bestFit="1" customWidth="1"/>
    <col min="59" max="59" width="22.42578125" bestFit="1" customWidth="1"/>
    <col min="60" max="60" width="11.7109375" bestFit="1" customWidth="1"/>
    <col min="61" max="61" width="8.5703125" bestFit="1" customWidth="1"/>
    <col min="62" max="62" width="14.28515625" bestFit="1" customWidth="1"/>
    <col min="63" max="64" width="10" bestFit="1" customWidth="1"/>
    <col min="65" max="65" width="15.85546875" bestFit="1" customWidth="1"/>
    <col min="66" max="66" width="6.42578125" bestFit="1" customWidth="1"/>
  </cols>
  <sheetData>
    <row r="1" spans="1:66" ht="30" customHeight="1" x14ac:dyDescent="0.25">
      <c r="A1" s="49" t="str">
        <f>"Attendance for"&amp;" "&amp;TEXT(P4,"mmmm yyyy")&amp;" "&amp;"Month"</f>
        <v>Attendance for April 2025 Month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BB1" s="15"/>
      <c r="BC1" s="42">
        <f>$AY$9/30</f>
        <v>0</v>
      </c>
      <c r="BD1" s="39">
        <f>BC1*30</f>
        <v>0</v>
      </c>
      <c r="BE1" s="39"/>
      <c r="BF1" s="39"/>
    </row>
    <row r="2" spans="1:66" ht="30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X2" s="23" t="s">
        <v>87</v>
      </c>
      <c r="AY2" s="24" t="s">
        <v>40</v>
      </c>
      <c r="AZ2" s="36" t="s">
        <v>70</v>
      </c>
      <c r="BA2" s="36" t="s">
        <v>71</v>
      </c>
      <c r="BB2" s="31" t="s">
        <v>67</v>
      </c>
      <c r="BC2" s="35" t="s">
        <v>68</v>
      </c>
      <c r="BD2" s="32" t="s">
        <v>89</v>
      </c>
      <c r="BE2" s="39"/>
      <c r="BF2" s="39">
        <f>AX9*BC1</f>
        <v>0</v>
      </c>
    </row>
    <row r="3" spans="1:66" x14ac:dyDescent="0.25">
      <c r="AX3" s="37">
        <f>$BC$1*$AV$9</f>
        <v>0</v>
      </c>
      <c r="AY3" s="37">
        <f>$BC$1*$AW$9/2</f>
        <v>0</v>
      </c>
      <c r="AZ3" s="37">
        <f>$BC$1*$AU$9/2</f>
        <v>0</v>
      </c>
      <c r="BA3" s="37">
        <f>$BC$1/8*$BJ$9</f>
        <v>0</v>
      </c>
      <c r="BB3" s="37">
        <f>$BC$1*$AT$9</f>
        <v>0</v>
      </c>
      <c r="BC3" s="15">
        <f>$BC$1*$AS$9</f>
        <v>0</v>
      </c>
      <c r="BD3" s="40">
        <f>(AX3)+(AY3)+(AZ3)+(BC3)</f>
        <v>0</v>
      </c>
      <c r="BE3" s="39"/>
      <c r="BF3" s="39"/>
    </row>
    <row r="4" spans="1:66" x14ac:dyDescent="0.25">
      <c r="L4" s="34" t="s">
        <v>14</v>
      </c>
      <c r="M4" s="34" t="s">
        <v>15</v>
      </c>
      <c r="O4" s="34" t="s">
        <v>0</v>
      </c>
      <c r="P4" s="3">
        <f>DATEVALUE("1"&amp;L5&amp;M5)</f>
        <v>45748</v>
      </c>
      <c r="AX4" s="15"/>
      <c r="AY4" s="15"/>
      <c r="AZ4" s="15"/>
      <c r="BA4" s="15"/>
      <c r="BB4" s="15"/>
      <c r="BC4" s="15"/>
      <c r="BD4" s="32"/>
      <c r="BE4" s="39"/>
      <c r="BF4" s="39"/>
    </row>
    <row r="5" spans="1:66" x14ac:dyDescent="0.25">
      <c r="L5" s="2" t="s">
        <v>5</v>
      </c>
      <c r="M5" s="2">
        <v>2025</v>
      </c>
      <c r="O5" s="34" t="s">
        <v>1</v>
      </c>
      <c r="P5" s="3">
        <f>EOMONTH(P4,0)</f>
        <v>45777</v>
      </c>
      <c r="AX5" s="10"/>
      <c r="AY5" s="10"/>
      <c r="AZ5" s="10"/>
      <c r="BA5" s="10"/>
      <c r="BB5" s="10"/>
      <c r="BC5" s="38"/>
      <c r="BD5" s="10"/>
      <c r="BI5" s="11"/>
      <c r="BJ5" s="11"/>
      <c r="BL5" s="11"/>
    </row>
    <row r="6" spans="1:66" x14ac:dyDescent="0.25">
      <c r="A6" s="32" t="s">
        <v>86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2"/>
      <c r="P6" s="13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X6" s="10"/>
      <c r="AZ6" s="48" t="s">
        <v>44</v>
      </c>
      <c r="BA6" s="48"/>
      <c r="BB6" s="48"/>
      <c r="BE6" s="51" t="s">
        <v>45</v>
      </c>
      <c r="BF6" s="51"/>
      <c r="BG6" s="52"/>
    </row>
    <row r="7" spans="1:6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8" t="str">
        <f t="shared" ref="M7:AQ7" si="0">TEXT(M8,"Ddd")</f>
        <v>Tue</v>
      </c>
      <c r="N7" s="8" t="str">
        <f t="shared" si="0"/>
        <v>Wed</v>
      </c>
      <c r="O7" s="8" t="str">
        <f t="shared" si="0"/>
        <v>Thu</v>
      </c>
      <c r="P7" s="8" t="str">
        <f t="shared" si="0"/>
        <v>Fri</v>
      </c>
      <c r="Q7" s="8" t="str">
        <f t="shared" si="0"/>
        <v>Sat</v>
      </c>
      <c r="R7" s="8" t="str">
        <f t="shared" si="0"/>
        <v>Sun</v>
      </c>
      <c r="S7" s="8" t="str">
        <f t="shared" si="0"/>
        <v>Mon</v>
      </c>
      <c r="T7" s="8" t="str">
        <f t="shared" si="0"/>
        <v>Tue</v>
      </c>
      <c r="U7" s="8" t="str">
        <f t="shared" si="0"/>
        <v>Wed</v>
      </c>
      <c r="V7" s="8" t="str">
        <f t="shared" si="0"/>
        <v>Thu</v>
      </c>
      <c r="W7" s="8" t="str">
        <f t="shared" si="0"/>
        <v>Fri</v>
      </c>
      <c r="X7" s="8" t="str">
        <f t="shared" si="0"/>
        <v>Sat</v>
      </c>
      <c r="Y7" s="8" t="str">
        <f t="shared" si="0"/>
        <v>Sun</v>
      </c>
      <c r="Z7" s="8" t="str">
        <f t="shared" si="0"/>
        <v>Mon</v>
      </c>
      <c r="AA7" s="8" t="str">
        <f t="shared" si="0"/>
        <v>Tue</v>
      </c>
      <c r="AB7" s="8" t="str">
        <f t="shared" si="0"/>
        <v>Wed</v>
      </c>
      <c r="AC7" s="8" t="str">
        <f t="shared" si="0"/>
        <v>Thu</v>
      </c>
      <c r="AD7" s="8" t="str">
        <f t="shared" si="0"/>
        <v>Fri</v>
      </c>
      <c r="AE7" s="8" t="str">
        <f t="shared" si="0"/>
        <v>Sat</v>
      </c>
      <c r="AF7" s="8" t="str">
        <f t="shared" si="0"/>
        <v>Sun</v>
      </c>
      <c r="AG7" s="8" t="str">
        <f t="shared" si="0"/>
        <v>Mon</v>
      </c>
      <c r="AH7" s="8" t="str">
        <f t="shared" si="0"/>
        <v>Tue</v>
      </c>
      <c r="AI7" s="8" t="str">
        <f t="shared" si="0"/>
        <v>Wed</v>
      </c>
      <c r="AJ7" s="8" t="str">
        <f t="shared" si="0"/>
        <v>Thu</v>
      </c>
      <c r="AK7" s="8" t="str">
        <f t="shared" si="0"/>
        <v>Fri</v>
      </c>
      <c r="AL7" s="8" t="str">
        <f t="shared" si="0"/>
        <v>Sat</v>
      </c>
      <c r="AM7" s="8" t="str">
        <f t="shared" si="0"/>
        <v>Sun</v>
      </c>
      <c r="AN7" s="8" t="str">
        <f t="shared" si="0"/>
        <v>Mon</v>
      </c>
      <c r="AO7" s="8" t="str">
        <f t="shared" si="0"/>
        <v>Tue</v>
      </c>
      <c r="AP7" s="8" t="str">
        <f t="shared" si="0"/>
        <v>Wed</v>
      </c>
      <c r="AQ7" s="8" t="str">
        <f t="shared" si="0"/>
        <v xml:space="preserve"> </v>
      </c>
      <c r="AX7" s="10"/>
      <c r="AY7" s="10"/>
      <c r="AZ7" s="28">
        <v>0.03</v>
      </c>
      <c r="BA7" s="28">
        <v>0.05</v>
      </c>
      <c r="BB7" s="28">
        <v>7.0000000000000007E-2</v>
      </c>
      <c r="BC7" s="10"/>
      <c r="BE7" s="29">
        <v>0.12</v>
      </c>
      <c r="BF7" s="29">
        <v>0.02</v>
      </c>
      <c r="BH7" s="10"/>
      <c r="BM7" s="10"/>
      <c r="BN7" s="10"/>
    </row>
    <row r="8" spans="1:66" x14ac:dyDescent="0.25">
      <c r="A8" s="14" t="s">
        <v>16</v>
      </c>
      <c r="B8" s="14" t="s">
        <v>17</v>
      </c>
      <c r="C8" s="14" t="s">
        <v>58</v>
      </c>
      <c r="D8" s="14" t="s">
        <v>59</v>
      </c>
      <c r="E8" s="14" t="s">
        <v>60</v>
      </c>
      <c r="F8" s="14" t="s">
        <v>61</v>
      </c>
      <c r="G8" s="14" t="s">
        <v>18</v>
      </c>
      <c r="H8" s="14" t="s">
        <v>41</v>
      </c>
      <c r="I8" s="14" t="s">
        <v>64</v>
      </c>
      <c r="J8" s="14" t="s">
        <v>63</v>
      </c>
      <c r="K8" s="14" t="s">
        <v>65</v>
      </c>
      <c r="L8" s="14" t="s">
        <v>20</v>
      </c>
      <c r="M8" s="46">
        <f>P4</f>
        <v>45748</v>
      </c>
      <c r="N8" s="46">
        <f t="shared" ref="N8:AM8" si="1">M8+1</f>
        <v>45749</v>
      </c>
      <c r="O8" s="46">
        <f t="shared" si="1"/>
        <v>45750</v>
      </c>
      <c r="P8" s="46">
        <f t="shared" si="1"/>
        <v>45751</v>
      </c>
      <c r="Q8" s="46">
        <f t="shared" si="1"/>
        <v>45752</v>
      </c>
      <c r="R8" s="46">
        <f t="shared" si="1"/>
        <v>45753</v>
      </c>
      <c r="S8" s="46">
        <f t="shared" si="1"/>
        <v>45754</v>
      </c>
      <c r="T8" s="46">
        <f t="shared" si="1"/>
        <v>45755</v>
      </c>
      <c r="U8" s="46">
        <f t="shared" si="1"/>
        <v>45756</v>
      </c>
      <c r="V8" s="46">
        <f t="shared" si="1"/>
        <v>45757</v>
      </c>
      <c r="W8" s="46">
        <f t="shared" si="1"/>
        <v>45758</v>
      </c>
      <c r="X8" s="46">
        <f t="shared" si="1"/>
        <v>45759</v>
      </c>
      <c r="Y8" s="46">
        <f t="shared" si="1"/>
        <v>45760</v>
      </c>
      <c r="Z8" s="46">
        <f t="shared" si="1"/>
        <v>45761</v>
      </c>
      <c r="AA8" s="46">
        <f t="shared" si="1"/>
        <v>45762</v>
      </c>
      <c r="AB8" s="46">
        <f t="shared" si="1"/>
        <v>45763</v>
      </c>
      <c r="AC8" s="46">
        <f t="shared" si="1"/>
        <v>45764</v>
      </c>
      <c r="AD8" s="46">
        <f t="shared" si="1"/>
        <v>45765</v>
      </c>
      <c r="AE8" s="46">
        <f t="shared" si="1"/>
        <v>45766</v>
      </c>
      <c r="AF8" s="46">
        <f t="shared" si="1"/>
        <v>45767</v>
      </c>
      <c r="AG8" s="46">
        <f t="shared" si="1"/>
        <v>45768</v>
      </c>
      <c r="AH8" s="46">
        <f t="shared" si="1"/>
        <v>45769</v>
      </c>
      <c r="AI8" s="46">
        <f t="shared" si="1"/>
        <v>45770</v>
      </c>
      <c r="AJ8" s="46">
        <f t="shared" si="1"/>
        <v>45771</v>
      </c>
      <c r="AK8" s="46">
        <f t="shared" si="1"/>
        <v>45772</v>
      </c>
      <c r="AL8" s="46">
        <f t="shared" si="1"/>
        <v>45773</v>
      </c>
      <c r="AM8" s="46">
        <f t="shared" si="1"/>
        <v>45774</v>
      </c>
      <c r="AN8" s="46">
        <f>IF(AM8&lt;$P$5,AM8+1," ")</f>
        <v>45775</v>
      </c>
      <c r="AO8" s="46">
        <f>IF(AN8&lt;$P$5,AN8+1," ")</f>
        <v>45776</v>
      </c>
      <c r="AP8" s="46">
        <f>IF(AO8&lt;$P$5,AO8+1," ")</f>
        <v>45777</v>
      </c>
      <c r="AQ8" s="46" t="str">
        <f>IF(AP8&lt;$P$5,AP8+1," ")</f>
        <v xml:space="preserve"> </v>
      </c>
      <c r="AR8" s="21" t="s">
        <v>42</v>
      </c>
      <c r="AS8" s="18" t="s">
        <v>25</v>
      </c>
      <c r="AT8" s="22" t="s">
        <v>38</v>
      </c>
      <c r="AU8" s="23" t="s">
        <v>39</v>
      </c>
      <c r="AV8" s="23" t="s">
        <v>87</v>
      </c>
      <c r="AW8" s="24" t="s">
        <v>40</v>
      </c>
      <c r="AX8" s="25" t="s">
        <v>43</v>
      </c>
      <c r="AY8" s="4" t="s">
        <v>46</v>
      </c>
      <c r="AZ8" s="4" t="s">
        <v>49</v>
      </c>
      <c r="BA8" s="26" t="s">
        <v>50</v>
      </c>
      <c r="BB8" s="8" t="s">
        <v>51</v>
      </c>
      <c r="BC8" s="27" t="s">
        <v>52</v>
      </c>
      <c r="BD8" s="20" t="s">
        <v>53</v>
      </c>
      <c r="BE8" s="7" t="s">
        <v>54</v>
      </c>
      <c r="BF8" s="9" t="s">
        <v>69</v>
      </c>
      <c r="BG8" s="45" t="s">
        <v>95</v>
      </c>
      <c r="BH8" s="27" t="s">
        <v>55</v>
      </c>
      <c r="BI8" s="7" t="s">
        <v>48</v>
      </c>
      <c r="BJ8" s="5" t="s">
        <v>62</v>
      </c>
      <c r="BK8" s="6" t="s">
        <v>47</v>
      </c>
      <c r="BL8" s="19" t="s">
        <v>56</v>
      </c>
      <c r="BM8" s="20" t="s">
        <v>57</v>
      </c>
      <c r="BN8" s="44" t="s">
        <v>91</v>
      </c>
    </row>
    <row r="9" spans="1:66" x14ac:dyDescent="0.25">
      <c r="A9" s="30" t="str">
        <f>$A$6&amp;IF(B9="","",COUNTA($B$9:B9)+100)</f>
        <v>SK-</v>
      </c>
      <c r="B9" s="15"/>
      <c r="C9" s="15"/>
      <c r="D9" s="15"/>
      <c r="E9" s="15"/>
      <c r="F9" s="15"/>
      <c r="G9" s="16"/>
      <c r="H9" s="16"/>
      <c r="I9" s="17"/>
      <c r="J9" s="17"/>
      <c r="K9" s="12" t="str">
        <f>IF($J9=""," ","Emp. Resign this Company")</f>
        <v xml:space="preserve"> </v>
      </c>
      <c r="L9" s="1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5">
        <f>COUNTA(M9:AQ9)</f>
        <v>0</v>
      </c>
      <c r="AS9" s="15">
        <f>COUNTIF(M9:AQ9,"P")</f>
        <v>0</v>
      </c>
      <c r="AT9" s="15">
        <f>COUNTIF(M9:AQ9,"A")</f>
        <v>0</v>
      </c>
      <c r="AU9" s="15">
        <f>COUNTIF(M9:AQ9,"L")</f>
        <v>0</v>
      </c>
      <c r="AV9" s="15">
        <f>COUNTIF(M9:AQ9,"SUN")</f>
        <v>0</v>
      </c>
      <c r="AW9" s="15">
        <f>COUNTIF(M9:AQ9,"H")</f>
        <v>0</v>
      </c>
      <c r="AX9" s="15">
        <f>($AR9-$AT9)-($AW9/2)-($AU9/2)</f>
        <v>0</v>
      </c>
      <c r="AY9" s="15"/>
      <c r="AZ9" s="15">
        <f>$AY9*$AZ$7</f>
        <v>0</v>
      </c>
      <c r="BA9" s="15">
        <f>$AY9*$BA$7</f>
        <v>0</v>
      </c>
      <c r="BB9" s="15">
        <f>$AY9*$BB$7</f>
        <v>0</v>
      </c>
      <c r="BC9" s="15">
        <f>$AZ9+$BA9+$BB9</f>
        <v>0</v>
      </c>
      <c r="BD9" s="37">
        <f>($AY9+$BC9)</f>
        <v>0</v>
      </c>
      <c r="BE9" s="15">
        <f>$AY9*$BE$7</f>
        <v>0</v>
      </c>
      <c r="BF9" s="15">
        <f>$AY9*$BF$7</f>
        <v>0</v>
      </c>
      <c r="BG9" s="41">
        <f>$BC$1*$AT9</f>
        <v>0</v>
      </c>
      <c r="BH9" s="37">
        <f>$BE9+$BF9+$BG9</f>
        <v>0</v>
      </c>
      <c r="BI9" s="1"/>
      <c r="BJ9" s="15"/>
      <c r="BK9" s="15">
        <f>IF($BA$4="",$AY9/30/8*$BJ9,$BA4*$BJ9)</f>
        <v>0</v>
      </c>
      <c r="BL9" s="37">
        <f>($BD9-$BH9)-$BI9</f>
        <v>0</v>
      </c>
      <c r="BM9" s="17"/>
      <c r="BN9" s="15"/>
    </row>
    <row r="10" spans="1:66" x14ac:dyDescent="0.25">
      <c r="A10" s="30" t="str">
        <f>$A$6&amp;IF(B10="","",COUNTA($B$9:B10)+100)</f>
        <v>SK-</v>
      </c>
      <c r="B10" s="15"/>
      <c r="C10" s="15"/>
      <c r="D10" s="15"/>
      <c r="E10" s="15"/>
      <c r="F10" s="15"/>
      <c r="G10" s="16"/>
      <c r="H10" s="16"/>
      <c r="I10" s="17"/>
      <c r="J10" s="17"/>
      <c r="K10" s="12" t="str">
        <f t="shared" ref="K10:K21" si="2">IF($J10=""," ","Emp. Resign this Company")</f>
        <v xml:space="preserve"> </v>
      </c>
      <c r="L10" s="1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5">
        <f t="shared" ref="AR10:AR21" si="3">COUNTA(M10:AQ10)</f>
        <v>0</v>
      </c>
      <c r="AS10" s="15">
        <f t="shared" ref="AS10:AS21" si="4">COUNTIF(M10:AQ10,"P")</f>
        <v>0</v>
      </c>
      <c r="AT10" s="15">
        <f t="shared" ref="AT10:AT21" si="5">COUNTIF(M10:AQ10,"A")</f>
        <v>0</v>
      </c>
      <c r="AU10" s="15">
        <f t="shared" ref="AU10:AU21" si="6">COUNTIF(M10:AQ10,"L")</f>
        <v>0</v>
      </c>
      <c r="AV10" s="15">
        <f t="shared" ref="AV10:AV21" si="7">COUNTIF(M10:AQ10,"SUN")</f>
        <v>0</v>
      </c>
      <c r="AW10" s="15">
        <f t="shared" ref="AW10:AW21" si="8">COUNTIF(M10:AQ10,"H")</f>
        <v>0</v>
      </c>
      <c r="AX10" s="15">
        <f t="shared" ref="AX10:AX21" si="9">($AR10-$AT10)-($AW10/2)-($AU10/2)</f>
        <v>0</v>
      </c>
      <c r="AY10" s="15"/>
      <c r="AZ10" s="15">
        <f t="shared" ref="AZ10:AZ21" si="10">$AY10*$AZ$7</f>
        <v>0</v>
      </c>
      <c r="BA10" s="15">
        <f t="shared" ref="BA10:BA21" si="11">$AY10*$BA$7</f>
        <v>0</v>
      </c>
      <c r="BB10" s="15">
        <f t="shared" ref="BB10:BB21" si="12">$AY10*$BB$7</f>
        <v>0</v>
      </c>
      <c r="BC10" s="15">
        <f t="shared" ref="BC10:BC21" si="13">$AZ10+$BA10+$BB10</f>
        <v>0</v>
      </c>
      <c r="BD10" s="37">
        <f t="shared" ref="BD10:BD21" si="14">($AY10+$BC10)</f>
        <v>0</v>
      </c>
      <c r="BE10" s="15">
        <f t="shared" ref="BE10:BE21" si="15">$AY10*$BE$7</f>
        <v>0</v>
      </c>
      <c r="BF10" s="15">
        <f t="shared" ref="BF10:BF21" si="16">$AY10*$BF$7</f>
        <v>0</v>
      </c>
      <c r="BG10" s="41">
        <f t="shared" ref="BG10:BG21" si="17">$BC$1*$AT10</f>
        <v>0</v>
      </c>
      <c r="BH10" s="37">
        <f t="shared" ref="BH10:BH21" si="18">$BE10+$BF10+$BG10</f>
        <v>0</v>
      </c>
      <c r="BI10" s="1"/>
      <c r="BJ10" s="15"/>
      <c r="BK10" s="15">
        <f t="shared" ref="BK10:BK21" si="19">IF($BA$4="",$AY10/30/8*$BJ10,$BA5*$BJ10)</f>
        <v>0</v>
      </c>
      <c r="BL10" s="37">
        <f t="shared" ref="BL10:BL21" si="20">($BD10-$BH10)-$BI10</f>
        <v>0</v>
      </c>
      <c r="BM10" s="15"/>
      <c r="BN10" s="15"/>
    </row>
    <row r="11" spans="1:66" x14ac:dyDescent="0.25">
      <c r="A11" s="30" t="str">
        <f>$A$6&amp;IF(B11="","",COUNTA($B$9:B11)+100)</f>
        <v>SK-</v>
      </c>
      <c r="B11" s="15"/>
      <c r="C11" s="15"/>
      <c r="D11" s="15"/>
      <c r="E11" s="15"/>
      <c r="F11" s="15"/>
      <c r="G11" s="16"/>
      <c r="H11" s="16"/>
      <c r="I11" s="17"/>
      <c r="J11" s="15"/>
      <c r="K11" s="12" t="str">
        <f t="shared" si="2"/>
        <v xml:space="preserve"> </v>
      </c>
      <c r="L11" s="1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5">
        <f t="shared" si="3"/>
        <v>0</v>
      </c>
      <c r="AS11" s="15">
        <f t="shared" si="4"/>
        <v>0</v>
      </c>
      <c r="AT11" s="15">
        <f t="shared" si="5"/>
        <v>0</v>
      </c>
      <c r="AU11" s="15">
        <f t="shared" si="6"/>
        <v>0</v>
      </c>
      <c r="AV11" s="15">
        <f t="shared" si="7"/>
        <v>0</v>
      </c>
      <c r="AW11" s="15">
        <f t="shared" si="8"/>
        <v>0</v>
      </c>
      <c r="AX11" s="15">
        <f t="shared" si="9"/>
        <v>0</v>
      </c>
      <c r="AY11" s="15"/>
      <c r="AZ11" s="15">
        <f t="shared" si="10"/>
        <v>0</v>
      </c>
      <c r="BA11" s="15">
        <f t="shared" si="11"/>
        <v>0</v>
      </c>
      <c r="BB11" s="15">
        <f t="shared" si="12"/>
        <v>0</v>
      </c>
      <c r="BC11" s="15">
        <f t="shared" si="13"/>
        <v>0</v>
      </c>
      <c r="BD11" s="37">
        <f t="shared" si="14"/>
        <v>0</v>
      </c>
      <c r="BE11" s="15">
        <f t="shared" si="15"/>
        <v>0</v>
      </c>
      <c r="BF11" s="15">
        <f t="shared" si="16"/>
        <v>0</v>
      </c>
      <c r="BG11" s="41">
        <f t="shared" si="17"/>
        <v>0</v>
      </c>
      <c r="BH11" s="37">
        <f t="shared" si="18"/>
        <v>0</v>
      </c>
      <c r="BI11" s="1"/>
      <c r="BJ11" s="15"/>
      <c r="BK11" s="15">
        <f t="shared" si="19"/>
        <v>0</v>
      </c>
      <c r="BL11" s="37">
        <f t="shared" si="20"/>
        <v>0</v>
      </c>
      <c r="BM11" s="15"/>
      <c r="BN11" s="15"/>
    </row>
    <row r="12" spans="1:66" x14ac:dyDescent="0.25">
      <c r="A12" s="30" t="str">
        <f>$A$6&amp;IF(B12="","",COUNTA($B$9:B12)+100)</f>
        <v>SK-</v>
      </c>
      <c r="B12" s="15"/>
      <c r="C12" s="15"/>
      <c r="D12" s="15"/>
      <c r="E12" s="15"/>
      <c r="F12" s="15"/>
      <c r="G12" s="16"/>
      <c r="H12" s="16"/>
      <c r="I12" s="17"/>
      <c r="J12" s="15"/>
      <c r="K12" s="12" t="str">
        <f t="shared" si="2"/>
        <v xml:space="preserve"> </v>
      </c>
      <c r="L12" s="1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5">
        <f t="shared" si="3"/>
        <v>0</v>
      </c>
      <c r="AS12" s="15">
        <f t="shared" si="4"/>
        <v>0</v>
      </c>
      <c r="AT12" s="15">
        <f t="shared" si="5"/>
        <v>0</v>
      </c>
      <c r="AU12" s="15">
        <f t="shared" si="6"/>
        <v>0</v>
      </c>
      <c r="AV12" s="15">
        <f t="shared" si="7"/>
        <v>0</v>
      </c>
      <c r="AW12" s="15">
        <f>COUNTIF(M12:AQ12,"H")</f>
        <v>0</v>
      </c>
      <c r="AX12" s="15">
        <f t="shared" si="9"/>
        <v>0</v>
      </c>
      <c r="AY12" s="15"/>
      <c r="AZ12" s="15">
        <f t="shared" si="10"/>
        <v>0</v>
      </c>
      <c r="BA12" s="15">
        <f t="shared" si="11"/>
        <v>0</v>
      </c>
      <c r="BB12" s="15">
        <f t="shared" si="12"/>
        <v>0</v>
      </c>
      <c r="BC12" s="15">
        <f t="shared" si="13"/>
        <v>0</v>
      </c>
      <c r="BD12" s="37">
        <f t="shared" si="14"/>
        <v>0</v>
      </c>
      <c r="BE12" s="15">
        <f t="shared" si="15"/>
        <v>0</v>
      </c>
      <c r="BF12" s="15">
        <f t="shared" si="16"/>
        <v>0</v>
      </c>
      <c r="BG12" s="41">
        <f t="shared" si="17"/>
        <v>0</v>
      </c>
      <c r="BH12" s="37">
        <f t="shared" si="18"/>
        <v>0</v>
      </c>
      <c r="BI12" s="1"/>
      <c r="BJ12" s="15"/>
      <c r="BK12" s="15">
        <f t="shared" si="19"/>
        <v>0</v>
      </c>
      <c r="BL12" s="37">
        <f t="shared" si="20"/>
        <v>0</v>
      </c>
      <c r="BM12" s="15"/>
      <c r="BN12" s="15"/>
    </row>
    <row r="13" spans="1:66" x14ac:dyDescent="0.25">
      <c r="A13" s="30" t="str">
        <f>$A$6&amp;IF(B13="","",COUNTA($B$9:B13)+100)</f>
        <v>SK-</v>
      </c>
      <c r="B13" s="15"/>
      <c r="C13" s="15"/>
      <c r="D13" s="15"/>
      <c r="E13" s="15"/>
      <c r="F13" s="15"/>
      <c r="G13" s="16"/>
      <c r="H13" s="16"/>
      <c r="I13" s="17"/>
      <c r="J13" s="17"/>
      <c r="K13" s="12" t="str">
        <f t="shared" si="2"/>
        <v xml:space="preserve"> </v>
      </c>
      <c r="L13" s="1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5">
        <f t="shared" si="3"/>
        <v>0</v>
      </c>
      <c r="AS13" s="15">
        <f t="shared" si="4"/>
        <v>0</v>
      </c>
      <c r="AT13" s="15">
        <f t="shared" si="5"/>
        <v>0</v>
      </c>
      <c r="AU13" s="15">
        <f t="shared" si="6"/>
        <v>0</v>
      </c>
      <c r="AV13" s="15">
        <f t="shared" si="7"/>
        <v>0</v>
      </c>
      <c r="AW13" s="15">
        <f t="shared" si="8"/>
        <v>0</v>
      </c>
      <c r="AX13" s="15">
        <f t="shared" si="9"/>
        <v>0</v>
      </c>
      <c r="AY13" s="15"/>
      <c r="AZ13" s="15">
        <f t="shared" si="10"/>
        <v>0</v>
      </c>
      <c r="BA13" s="15">
        <f t="shared" si="11"/>
        <v>0</v>
      </c>
      <c r="BB13" s="15">
        <f t="shared" si="12"/>
        <v>0</v>
      </c>
      <c r="BC13" s="15">
        <f t="shared" si="13"/>
        <v>0</v>
      </c>
      <c r="BD13" s="37">
        <f t="shared" si="14"/>
        <v>0</v>
      </c>
      <c r="BE13" s="15">
        <f t="shared" si="15"/>
        <v>0</v>
      </c>
      <c r="BF13" s="15">
        <f t="shared" si="16"/>
        <v>0</v>
      </c>
      <c r="BG13" s="41">
        <f t="shared" si="17"/>
        <v>0</v>
      </c>
      <c r="BH13" s="37">
        <f t="shared" si="18"/>
        <v>0</v>
      </c>
      <c r="BI13" s="1"/>
      <c r="BJ13" s="15"/>
      <c r="BK13" s="15">
        <f t="shared" si="19"/>
        <v>0</v>
      </c>
      <c r="BL13" s="37">
        <f t="shared" si="20"/>
        <v>0</v>
      </c>
      <c r="BM13" s="15"/>
      <c r="BN13" s="15"/>
    </row>
    <row r="14" spans="1:66" x14ac:dyDescent="0.25">
      <c r="A14" s="30" t="str">
        <f>$A$6&amp;IF(B14="","",COUNTA($B$9:B14)+100)</f>
        <v>SK-</v>
      </c>
      <c r="B14" s="15"/>
      <c r="C14" s="15"/>
      <c r="D14" s="15"/>
      <c r="E14" s="15"/>
      <c r="F14" s="15"/>
      <c r="G14" s="16"/>
      <c r="H14" s="16"/>
      <c r="I14" s="17"/>
      <c r="J14" s="15"/>
      <c r="K14" s="12" t="str">
        <f t="shared" si="2"/>
        <v xml:space="preserve"> </v>
      </c>
      <c r="L14" s="1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5">
        <f t="shared" si="3"/>
        <v>0</v>
      </c>
      <c r="AS14" s="15">
        <f t="shared" si="4"/>
        <v>0</v>
      </c>
      <c r="AT14" s="15">
        <f t="shared" si="5"/>
        <v>0</v>
      </c>
      <c r="AU14" s="15">
        <f t="shared" si="6"/>
        <v>0</v>
      </c>
      <c r="AV14" s="15">
        <f t="shared" si="7"/>
        <v>0</v>
      </c>
      <c r="AW14" s="15">
        <f t="shared" si="8"/>
        <v>0</v>
      </c>
      <c r="AX14" s="15">
        <f t="shared" si="9"/>
        <v>0</v>
      </c>
      <c r="AY14" s="15"/>
      <c r="AZ14" s="15">
        <f t="shared" si="10"/>
        <v>0</v>
      </c>
      <c r="BA14" s="15">
        <f t="shared" si="11"/>
        <v>0</v>
      </c>
      <c r="BB14" s="15">
        <f t="shared" si="12"/>
        <v>0</v>
      </c>
      <c r="BC14" s="15">
        <f t="shared" si="13"/>
        <v>0</v>
      </c>
      <c r="BD14" s="37">
        <f t="shared" si="14"/>
        <v>0</v>
      </c>
      <c r="BE14" s="15">
        <f t="shared" si="15"/>
        <v>0</v>
      </c>
      <c r="BF14" s="15">
        <f t="shared" si="16"/>
        <v>0</v>
      </c>
      <c r="BG14" s="41">
        <f t="shared" si="17"/>
        <v>0</v>
      </c>
      <c r="BH14" s="37">
        <f t="shared" si="18"/>
        <v>0</v>
      </c>
      <c r="BI14" s="1"/>
      <c r="BJ14" s="15"/>
      <c r="BK14" s="15">
        <f t="shared" si="19"/>
        <v>0</v>
      </c>
      <c r="BL14" s="37">
        <f t="shared" si="20"/>
        <v>0</v>
      </c>
      <c r="BM14" s="15"/>
      <c r="BN14" s="15"/>
    </row>
    <row r="15" spans="1:66" x14ac:dyDescent="0.25">
      <c r="A15" s="30" t="str">
        <f>$A$6&amp;IF(B15="","",COUNTA($B$9:B15)+100)</f>
        <v>SK-</v>
      </c>
      <c r="B15" s="15"/>
      <c r="C15" s="15"/>
      <c r="D15" s="15"/>
      <c r="E15" s="15"/>
      <c r="F15" s="15"/>
      <c r="G15" s="16"/>
      <c r="H15" s="16"/>
      <c r="I15" s="17"/>
      <c r="J15" s="15"/>
      <c r="K15" s="12" t="str">
        <f t="shared" si="2"/>
        <v xml:space="preserve"> </v>
      </c>
      <c r="L15" s="1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5">
        <f t="shared" si="3"/>
        <v>0</v>
      </c>
      <c r="AS15" s="15">
        <f t="shared" si="4"/>
        <v>0</v>
      </c>
      <c r="AT15" s="15">
        <f t="shared" si="5"/>
        <v>0</v>
      </c>
      <c r="AU15" s="15">
        <f t="shared" si="6"/>
        <v>0</v>
      </c>
      <c r="AV15" s="15">
        <f t="shared" si="7"/>
        <v>0</v>
      </c>
      <c r="AW15" s="15">
        <f t="shared" si="8"/>
        <v>0</v>
      </c>
      <c r="AX15" s="15">
        <f t="shared" si="9"/>
        <v>0</v>
      </c>
      <c r="AY15" s="15"/>
      <c r="AZ15" s="15">
        <f t="shared" si="10"/>
        <v>0</v>
      </c>
      <c r="BA15" s="15">
        <f t="shared" si="11"/>
        <v>0</v>
      </c>
      <c r="BB15" s="15">
        <f t="shared" si="12"/>
        <v>0</v>
      </c>
      <c r="BC15" s="15">
        <f t="shared" si="13"/>
        <v>0</v>
      </c>
      <c r="BD15" s="37">
        <f t="shared" si="14"/>
        <v>0</v>
      </c>
      <c r="BE15" s="15">
        <f t="shared" si="15"/>
        <v>0</v>
      </c>
      <c r="BF15" s="15">
        <f t="shared" si="16"/>
        <v>0</v>
      </c>
      <c r="BG15" s="41">
        <f t="shared" si="17"/>
        <v>0</v>
      </c>
      <c r="BH15" s="37">
        <f t="shared" si="18"/>
        <v>0</v>
      </c>
      <c r="BI15" s="1"/>
      <c r="BJ15" s="15"/>
      <c r="BK15" s="15">
        <f t="shared" si="19"/>
        <v>0</v>
      </c>
      <c r="BL15" s="37">
        <f t="shared" si="20"/>
        <v>0</v>
      </c>
      <c r="BM15" s="15"/>
      <c r="BN15" s="15"/>
    </row>
    <row r="16" spans="1:66" x14ac:dyDescent="0.25">
      <c r="A16" s="30" t="str">
        <f>$A$6&amp;IF(B16="","",COUNTA($B$9:B16)+100)</f>
        <v>SK-</v>
      </c>
      <c r="B16" s="15"/>
      <c r="C16" s="15"/>
      <c r="D16" s="15"/>
      <c r="E16" s="15"/>
      <c r="F16" s="15"/>
      <c r="G16" s="16"/>
      <c r="H16" s="16"/>
      <c r="I16" s="17"/>
      <c r="J16" s="15"/>
      <c r="K16" s="12" t="str">
        <f t="shared" si="2"/>
        <v xml:space="preserve"> </v>
      </c>
      <c r="L16" s="1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5">
        <f t="shared" si="3"/>
        <v>0</v>
      </c>
      <c r="AS16" s="15">
        <f t="shared" si="4"/>
        <v>0</v>
      </c>
      <c r="AT16" s="15">
        <f t="shared" si="5"/>
        <v>0</v>
      </c>
      <c r="AU16" s="15">
        <f t="shared" si="6"/>
        <v>0</v>
      </c>
      <c r="AV16" s="15">
        <f t="shared" si="7"/>
        <v>0</v>
      </c>
      <c r="AW16" s="15">
        <f t="shared" si="8"/>
        <v>0</v>
      </c>
      <c r="AX16" s="15">
        <f t="shared" si="9"/>
        <v>0</v>
      </c>
      <c r="AY16" s="15"/>
      <c r="AZ16" s="15">
        <f t="shared" si="10"/>
        <v>0</v>
      </c>
      <c r="BA16" s="15">
        <f t="shared" si="11"/>
        <v>0</v>
      </c>
      <c r="BB16" s="15">
        <f t="shared" si="12"/>
        <v>0</v>
      </c>
      <c r="BC16" s="15">
        <f t="shared" si="13"/>
        <v>0</v>
      </c>
      <c r="BD16" s="37">
        <f t="shared" si="14"/>
        <v>0</v>
      </c>
      <c r="BE16" s="15">
        <f t="shared" si="15"/>
        <v>0</v>
      </c>
      <c r="BF16" s="15">
        <f t="shared" si="16"/>
        <v>0</v>
      </c>
      <c r="BG16" s="41">
        <f t="shared" si="17"/>
        <v>0</v>
      </c>
      <c r="BH16" s="37">
        <f t="shared" si="18"/>
        <v>0</v>
      </c>
      <c r="BI16" s="1"/>
      <c r="BJ16" s="15"/>
      <c r="BK16" s="15">
        <f t="shared" si="19"/>
        <v>0</v>
      </c>
      <c r="BL16" s="37">
        <f t="shared" si="20"/>
        <v>0</v>
      </c>
      <c r="BM16" s="15"/>
      <c r="BN16" s="15"/>
    </row>
    <row r="17" spans="1:66" x14ac:dyDescent="0.25">
      <c r="A17" s="30" t="str">
        <f>$A$6&amp;IF(B17="","",COUNTA($B$9:B17)+100)</f>
        <v>SK-</v>
      </c>
      <c r="B17" s="15"/>
      <c r="C17" s="15"/>
      <c r="D17" s="15"/>
      <c r="E17" s="15"/>
      <c r="F17" s="15"/>
      <c r="G17" s="16"/>
      <c r="H17" s="16"/>
      <c r="I17" s="17"/>
      <c r="J17" s="15"/>
      <c r="K17" s="12" t="str">
        <f t="shared" si="2"/>
        <v xml:space="preserve"> </v>
      </c>
      <c r="L17" s="1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5">
        <f t="shared" si="3"/>
        <v>0</v>
      </c>
      <c r="AS17" s="15">
        <f t="shared" si="4"/>
        <v>0</v>
      </c>
      <c r="AT17" s="15">
        <f t="shared" si="5"/>
        <v>0</v>
      </c>
      <c r="AU17" s="15">
        <f t="shared" si="6"/>
        <v>0</v>
      </c>
      <c r="AV17" s="15">
        <f t="shared" si="7"/>
        <v>0</v>
      </c>
      <c r="AW17" s="15">
        <f t="shared" si="8"/>
        <v>0</v>
      </c>
      <c r="AX17" s="15">
        <f t="shared" si="9"/>
        <v>0</v>
      </c>
      <c r="AY17" s="15"/>
      <c r="AZ17" s="15">
        <f t="shared" si="10"/>
        <v>0</v>
      </c>
      <c r="BA17" s="15">
        <f t="shared" si="11"/>
        <v>0</v>
      </c>
      <c r="BB17" s="15">
        <f t="shared" si="12"/>
        <v>0</v>
      </c>
      <c r="BC17" s="15">
        <f t="shared" si="13"/>
        <v>0</v>
      </c>
      <c r="BD17" s="37">
        <f t="shared" si="14"/>
        <v>0</v>
      </c>
      <c r="BE17" s="15">
        <f t="shared" si="15"/>
        <v>0</v>
      </c>
      <c r="BF17" s="15">
        <f t="shared" si="16"/>
        <v>0</v>
      </c>
      <c r="BG17" s="41">
        <f t="shared" si="17"/>
        <v>0</v>
      </c>
      <c r="BH17" s="37">
        <f t="shared" si="18"/>
        <v>0</v>
      </c>
      <c r="BI17" s="1"/>
      <c r="BJ17" s="15"/>
      <c r="BK17" s="15">
        <f t="shared" si="19"/>
        <v>0</v>
      </c>
      <c r="BL17" s="37">
        <f t="shared" si="20"/>
        <v>0</v>
      </c>
      <c r="BM17" s="15"/>
      <c r="BN17" s="15"/>
    </row>
    <row r="18" spans="1:66" x14ac:dyDescent="0.25">
      <c r="A18" s="30" t="str">
        <f>$A$6&amp;IF(B18="","",COUNTA($B$9:B18)+100)</f>
        <v>SK-</v>
      </c>
      <c r="B18" s="15"/>
      <c r="C18" s="15"/>
      <c r="D18" s="15"/>
      <c r="E18" s="15"/>
      <c r="F18" s="15"/>
      <c r="G18" s="16"/>
      <c r="H18" s="16"/>
      <c r="I18" s="17"/>
      <c r="J18" s="15"/>
      <c r="K18" s="12" t="str">
        <f t="shared" si="2"/>
        <v xml:space="preserve"> </v>
      </c>
      <c r="L18" s="1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5">
        <f t="shared" si="3"/>
        <v>0</v>
      </c>
      <c r="AS18" s="15">
        <f t="shared" si="4"/>
        <v>0</v>
      </c>
      <c r="AT18" s="15">
        <f t="shared" si="5"/>
        <v>0</v>
      </c>
      <c r="AU18" s="15">
        <f t="shared" si="6"/>
        <v>0</v>
      </c>
      <c r="AV18" s="15">
        <f t="shared" si="7"/>
        <v>0</v>
      </c>
      <c r="AW18" s="15">
        <f t="shared" si="8"/>
        <v>0</v>
      </c>
      <c r="AX18" s="15">
        <f t="shared" si="9"/>
        <v>0</v>
      </c>
      <c r="AY18" s="15"/>
      <c r="AZ18" s="15">
        <f t="shared" si="10"/>
        <v>0</v>
      </c>
      <c r="BA18" s="15">
        <f t="shared" si="11"/>
        <v>0</v>
      </c>
      <c r="BB18" s="15">
        <f t="shared" si="12"/>
        <v>0</v>
      </c>
      <c r="BC18" s="15">
        <f t="shared" si="13"/>
        <v>0</v>
      </c>
      <c r="BD18" s="37">
        <f t="shared" si="14"/>
        <v>0</v>
      </c>
      <c r="BE18" s="15">
        <f t="shared" si="15"/>
        <v>0</v>
      </c>
      <c r="BF18" s="15">
        <f t="shared" si="16"/>
        <v>0</v>
      </c>
      <c r="BG18" s="41">
        <f t="shared" si="17"/>
        <v>0</v>
      </c>
      <c r="BH18" s="37">
        <f t="shared" si="18"/>
        <v>0</v>
      </c>
      <c r="BI18" s="1"/>
      <c r="BJ18" s="15"/>
      <c r="BK18" s="15">
        <f t="shared" si="19"/>
        <v>0</v>
      </c>
      <c r="BL18" s="37">
        <f t="shared" si="20"/>
        <v>0</v>
      </c>
      <c r="BM18" s="15"/>
      <c r="BN18" s="15"/>
    </row>
    <row r="19" spans="1:66" x14ac:dyDescent="0.25">
      <c r="A19" s="30" t="str">
        <f>$A$6&amp;IF(B19="","",COUNTA($B$9:B19)+100)</f>
        <v>SK-</v>
      </c>
      <c r="B19" s="15"/>
      <c r="C19" s="15"/>
      <c r="D19" s="15"/>
      <c r="E19" s="15"/>
      <c r="F19" s="15"/>
      <c r="G19" s="16"/>
      <c r="H19" s="16"/>
      <c r="I19" s="17"/>
      <c r="J19" s="15"/>
      <c r="K19" s="12" t="str">
        <f t="shared" si="2"/>
        <v xml:space="preserve"> </v>
      </c>
      <c r="L19" s="1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5">
        <f t="shared" si="3"/>
        <v>0</v>
      </c>
      <c r="AS19" s="15">
        <f t="shared" si="4"/>
        <v>0</v>
      </c>
      <c r="AT19" s="15">
        <f t="shared" si="5"/>
        <v>0</v>
      </c>
      <c r="AU19" s="15">
        <f t="shared" si="6"/>
        <v>0</v>
      </c>
      <c r="AV19" s="15">
        <f t="shared" si="7"/>
        <v>0</v>
      </c>
      <c r="AW19" s="15">
        <f t="shared" si="8"/>
        <v>0</v>
      </c>
      <c r="AX19" s="15">
        <f t="shared" si="9"/>
        <v>0</v>
      </c>
      <c r="AY19" s="15"/>
      <c r="AZ19" s="15">
        <f t="shared" si="10"/>
        <v>0</v>
      </c>
      <c r="BA19" s="15">
        <f t="shared" si="11"/>
        <v>0</v>
      </c>
      <c r="BB19" s="15">
        <f t="shared" si="12"/>
        <v>0</v>
      </c>
      <c r="BC19" s="15">
        <f t="shared" si="13"/>
        <v>0</v>
      </c>
      <c r="BD19" s="37">
        <f t="shared" si="14"/>
        <v>0</v>
      </c>
      <c r="BE19" s="15">
        <f t="shared" si="15"/>
        <v>0</v>
      </c>
      <c r="BF19" s="15">
        <f t="shared" si="16"/>
        <v>0</v>
      </c>
      <c r="BG19" s="41">
        <f t="shared" si="17"/>
        <v>0</v>
      </c>
      <c r="BH19" s="37">
        <f t="shared" si="18"/>
        <v>0</v>
      </c>
      <c r="BI19" s="1"/>
      <c r="BJ19" s="15"/>
      <c r="BK19" s="15">
        <f t="shared" si="19"/>
        <v>0</v>
      </c>
      <c r="BL19" s="37">
        <f t="shared" si="20"/>
        <v>0</v>
      </c>
      <c r="BM19" s="15"/>
      <c r="BN19" s="15"/>
    </row>
    <row r="20" spans="1:66" x14ac:dyDescent="0.25">
      <c r="A20" s="30" t="str">
        <f>$A$6&amp;IF(B20="","",COUNTA($B$9:B20)+100)</f>
        <v>SK-</v>
      </c>
      <c r="B20" s="15"/>
      <c r="C20" s="15"/>
      <c r="D20" s="15"/>
      <c r="E20" s="15"/>
      <c r="F20" s="15"/>
      <c r="G20" s="16"/>
      <c r="H20" s="16"/>
      <c r="I20" s="17"/>
      <c r="J20" s="15"/>
      <c r="K20" s="12" t="str">
        <f t="shared" si="2"/>
        <v xml:space="preserve"> </v>
      </c>
      <c r="L20" s="1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5">
        <f t="shared" si="3"/>
        <v>0</v>
      </c>
      <c r="AS20" s="15">
        <f t="shared" si="4"/>
        <v>0</v>
      </c>
      <c r="AT20" s="15">
        <f t="shared" si="5"/>
        <v>0</v>
      </c>
      <c r="AU20" s="15">
        <f t="shared" si="6"/>
        <v>0</v>
      </c>
      <c r="AV20" s="15">
        <f t="shared" si="7"/>
        <v>0</v>
      </c>
      <c r="AW20" s="15">
        <f t="shared" si="8"/>
        <v>0</v>
      </c>
      <c r="AX20" s="15">
        <f t="shared" si="9"/>
        <v>0</v>
      </c>
      <c r="AY20" s="15"/>
      <c r="AZ20" s="15">
        <f t="shared" si="10"/>
        <v>0</v>
      </c>
      <c r="BA20" s="15">
        <f t="shared" si="11"/>
        <v>0</v>
      </c>
      <c r="BB20" s="15">
        <f t="shared" si="12"/>
        <v>0</v>
      </c>
      <c r="BC20" s="15">
        <f t="shared" si="13"/>
        <v>0</v>
      </c>
      <c r="BD20" s="37">
        <f t="shared" si="14"/>
        <v>0</v>
      </c>
      <c r="BE20" s="15">
        <f t="shared" si="15"/>
        <v>0</v>
      </c>
      <c r="BF20" s="15">
        <f t="shared" si="16"/>
        <v>0</v>
      </c>
      <c r="BG20" s="41">
        <f t="shared" si="17"/>
        <v>0</v>
      </c>
      <c r="BH20" s="37">
        <f t="shared" si="18"/>
        <v>0</v>
      </c>
      <c r="BI20" s="1"/>
      <c r="BJ20" s="15"/>
      <c r="BK20" s="15">
        <f t="shared" si="19"/>
        <v>0</v>
      </c>
      <c r="BL20" s="37">
        <f t="shared" si="20"/>
        <v>0</v>
      </c>
      <c r="BM20" s="15"/>
      <c r="BN20" s="15"/>
    </row>
    <row r="21" spans="1:66" x14ac:dyDescent="0.25">
      <c r="A21" s="30" t="str">
        <f>$A$6&amp;IF(B21="","",COUNTA($B$9:B21)+100)</f>
        <v>SK-</v>
      </c>
      <c r="B21" s="15"/>
      <c r="C21" s="15"/>
      <c r="D21" s="15"/>
      <c r="E21" s="15"/>
      <c r="F21" s="15"/>
      <c r="G21" s="16"/>
      <c r="H21" s="16"/>
      <c r="I21" s="17"/>
      <c r="J21" s="15"/>
      <c r="K21" s="12" t="str">
        <f t="shared" si="2"/>
        <v xml:space="preserve"> </v>
      </c>
      <c r="L21" s="1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5">
        <f t="shared" si="3"/>
        <v>0</v>
      </c>
      <c r="AS21" s="15">
        <f t="shared" si="4"/>
        <v>0</v>
      </c>
      <c r="AT21" s="15">
        <f t="shared" si="5"/>
        <v>0</v>
      </c>
      <c r="AU21" s="15">
        <f t="shared" si="6"/>
        <v>0</v>
      </c>
      <c r="AV21" s="15">
        <f t="shared" si="7"/>
        <v>0</v>
      </c>
      <c r="AW21" s="15">
        <f t="shared" si="8"/>
        <v>0</v>
      </c>
      <c r="AX21" s="15">
        <f t="shared" si="9"/>
        <v>0</v>
      </c>
      <c r="AY21" s="15"/>
      <c r="AZ21" s="15">
        <f t="shared" si="10"/>
        <v>0</v>
      </c>
      <c r="BA21" s="15">
        <f t="shared" si="11"/>
        <v>0</v>
      </c>
      <c r="BB21" s="15">
        <f t="shared" si="12"/>
        <v>0</v>
      </c>
      <c r="BC21" s="15">
        <f t="shared" si="13"/>
        <v>0</v>
      </c>
      <c r="BD21" s="37">
        <f t="shared" si="14"/>
        <v>0</v>
      </c>
      <c r="BE21" s="15">
        <f t="shared" si="15"/>
        <v>0</v>
      </c>
      <c r="BF21" s="15">
        <f t="shared" si="16"/>
        <v>0</v>
      </c>
      <c r="BG21" s="41">
        <f t="shared" si="17"/>
        <v>0</v>
      </c>
      <c r="BH21" s="37">
        <f t="shared" si="18"/>
        <v>0</v>
      </c>
      <c r="BI21" s="1"/>
      <c r="BJ21" s="15"/>
      <c r="BK21" s="15">
        <f t="shared" si="19"/>
        <v>0</v>
      </c>
      <c r="BL21" s="37">
        <f t="shared" si="20"/>
        <v>0</v>
      </c>
      <c r="BM21" s="15"/>
      <c r="BN21" s="15"/>
    </row>
  </sheetData>
  <mergeCells count="3">
    <mergeCell ref="A1:AR2"/>
    <mergeCell ref="AZ6:BB6"/>
    <mergeCell ref="BE6:BG6"/>
  </mergeCells>
  <conditionalFormatting sqref="A9:A21">
    <cfRule type="expression" dxfId="116" priority="9">
      <formula>A9="SK-"</formula>
    </cfRule>
  </conditionalFormatting>
  <conditionalFormatting sqref="K9:K21">
    <cfRule type="expression" dxfId="115" priority="10">
      <formula>K9:K21="Emp. Resign this Company"</formula>
    </cfRule>
  </conditionalFormatting>
  <conditionalFormatting sqref="M9:AQ21">
    <cfRule type="expression" dxfId="114" priority="5">
      <formula>M9="P"</formula>
    </cfRule>
    <cfRule type="expression" dxfId="113" priority="6">
      <formula>M9="L"</formula>
    </cfRule>
    <cfRule type="expression" dxfId="112" priority="7">
      <formula>M9="H"</formula>
    </cfRule>
    <cfRule type="expression" dxfId="111" priority="8">
      <formula>M9="A"</formula>
    </cfRule>
    <cfRule type="expression" dxfId="110" priority="13">
      <formula>M$7="sun"</formula>
    </cfRule>
  </conditionalFormatting>
  <conditionalFormatting sqref="AO8">
    <cfRule type="expression" dxfId="109" priority="12">
      <formula>$AO$8=DATEVLUE(1/29/2024)</formula>
    </cfRule>
  </conditionalFormatting>
  <conditionalFormatting sqref="AP8">
    <cfRule type="expression" dxfId="108" priority="11">
      <formula>$AP$8=DATEVALUE("2/30/2024")</formula>
    </cfRule>
  </conditionalFormatting>
  <conditionalFormatting sqref="AR9:BL21">
    <cfRule type="expression" dxfId="107" priority="4">
      <formula>AR9=0</formula>
    </cfRule>
  </conditionalFormatting>
  <conditionalFormatting sqref="BM9:BN21">
    <cfRule type="expression" dxfId="106" priority="1">
      <formula>$BN9="Process"</formula>
    </cfRule>
    <cfRule type="expression" dxfId="105" priority="2">
      <formula>$BN9="Pending"</formula>
    </cfRule>
    <cfRule type="expression" dxfId="104" priority="3">
      <formula>$BN9="done"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'data sheet'!$D$2:$D$4</xm:f>
          </x14:formula1>
          <xm:sqref>BN9:BN21</xm:sqref>
        </x14:dataValidation>
        <x14:dataValidation type="list" allowBlank="1" showInputMessage="1" showErrorMessage="1">
          <x14:formula1>
            <xm:f>'data sheet'!$Q$1:$Q$12</xm:f>
          </x14:formula1>
          <xm:sqref>L5</xm:sqref>
        </x14:dataValidation>
        <x14:dataValidation type="list" allowBlank="1" showInputMessage="1" showErrorMessage="1">
          <x14:formula1>
            <xm:f>'data sheet'!$P$1:$P$99</xm:f>
          </x14:formula1>
          <xm:sqref>M5</xm:sqref>
        </x14:dataValidation>
        <x14:dataValidation type="list" allowBlank="1" showInputMessage="1" showErrorMessage="1">
          <x14:formula1>
            <xm:f>'data sheet'!$C$2:$C$9</xm:f>
          </x14:formula1>
          <xm:sqref>D9:D21</xm:sqref>
        </x14:dataValidation>
        <x14:dataValidation type="list" allowBlank="1" showInputMessage="1" showErrorMessage="1">
          <x14:formula1>
            <xm:f>'data sheet'!$B$2:$B$6</xm:f>
          </x14:formula1>
          <xm:sqref>C9:C21</xm:sqref>
        </x14:dataValidation>
        <x14:dataValidation type="list" allowBlank="1" showInputMessage="1" showErrorMessage="1">
          <x14:formula1>
            <xm:f>'data sheet'!$A$2:$A$14</xm:f>
          </x14:formula1>
          <xm:sqref>B9:B21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21"/>
  <sheetViews>
    <sheetView workbookViewId="0">
      <selection activeCell="A8" sqref="A8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5.85546875" bestFit="1" customWidth="1"/>
    <col min="4" max="4" width="4.85546875" bestFit="1" customWidth="1"/>
    <col min="5" max="5" width="7.7109375" bestFit="1" customWidth="1"/>
    <col min="6" max="6" width="7.140625" bestFit="1" customWidth="1"/>
    <col min="7" max="7" width="7.28515625" bestFit="1" customWidth="1"/>
    <col min="9" max="9" width="9" bestFit="1" customWidth="1"/>
    <col min="10" max="10" width="9.7109375" bestFit="1" customWidth="1"/>
    <col min="11" max="11" width="11.42578125" bestFit="1" customWidth="1"/>
    <col min="12" max="12" width="7" bestFit="1" customWidth="1"/>
    <col min="13" max="43" width="10.42578125" bestFit="1" customWidth="1"/>
    <col min="44" max="44" width="9.85546875" bestFit="1" customWidth="1"/>
    <col min="45" max="45" width="7.85546875" bestFit="1" customWidth="1"/>
    <col min="46" max="46" width="7.28515625" bestFit="1" customWidth="1"/>
    <col min="47" max="47" width="6.140625" bestFit="1" customWidth="1"/>
    <col min="48" max="48" width="7.42578125" bestFit="1" customWidth="1"/>
    <col min="49" max="49" width="8.140625" bestFit="1" customWidth="1"/>
    <col min="50" max="50" width="12.7109375" bestFit="1" customWidth="1"/>
    <col min="51" max="51" width="11.140625" bestFit="1" customWidth="1"/>
    <col min="52" max="52" width="19.7109375" bestFit="1" customWidth="1"/>
    <col min="53" max="53" width="21.85546875" bestFit="1" customWidth="1"/>
    <col min="54" max="54" width="22" bestFit="1" customWidth="1"/>
    <col min="55" max="55" width="27.5703125" bestFit="1" customWidth="1"/>
    <col min="56" max="56" width="8.7109375" bestFit="1" customWidth="1"/>
    <col min="57" max="57" width="4.5703125" bestFit="1" customWidth="1"/>
    <col min="58" max="58" width="4.7109375" bestFit="1" customWidth="1"/>
    <col min="59" max="59" width="22.42578125" bestFit="1" customWidth="1"/>
    <col min="60" max="60" width="11.7109375" bestFit="1" customWidth="1"/>
    <col min="61" max="61" width="8.5703125" bestFit="1" customWidth="1"/>
    <col min="62" max="62" width="14.28515625" bestFit="1" customWidth="1"/>
    <col min="63" max="64" width="10" bestFit="1" customWidth="1"/>
    <col min="65" max="65" width="15.85546875" bestFit="1" customWidth="1"/>
    <col min="66" max="66" width="6.42578125" bestFit="1" customWidth="1"/>
  </cols>
  <sheetData>
    <row r="1" spans="1:66" ht="30" customHeight="1" x14ac:dyDescent="0.25">
      <c r="A1" s="49" t="str">
        <f>"Attendance for"&amp;" "&amp;TEXT(P4,"mmmm yyyy")&amp;" "&amp;"Month"</f>
        <v>Attendance for May 2025 Month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BB1" s="15"/>
      <c r="BC1" s="42">
        <f>$AY$9/30</f>
        <v>0</v>
      </c>
      <c r="BD1" s="39">
        <f>BC1*30</f>
        <v>0</v>
      </c>
      <c r="BE1" s="39"/>
      <c r="BF1" s="39"/>
    </row>
    <row r="2" spans="1:66" ht="30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X2" s="23" t="s">
        <v>87</v>
      </c>
      <c r="AY2" s="24" t="s">
        <v>40</v>
      </c>
      <c r="AZ2" s="36" t="s">
        <v>70</v>
      </c>
      <c r="BA2" s="36" t="s">
        <v>71</v>
      </c>
      <c r="BB2" s="31" t="s">
        <v>67</v>
      </c>
      <c r="BC2" s="35" t="s">
        <v>68</v>
      </c>
      <c r="BD2" s="32" t="s">
        <v>89</v>
      </c>
      <c r="BE2" s="39"/>
      <c r="BF2" s="39">
        <f>AX9*BC1</f>
        <v>0</v>
      </c>
    </row>
    <row r="3" spans="1:66" x14ac:dyDescent="0.25">
      <c r="AX3" s="37">
        <f>$BC$1*$AV$9</f>
        <v>0</v>
      </c>
      <c r="AY3" s="37">
        <f>$BC$1*$AW$9/2</f>
        <v>0</v>
      </c>
      <c r="AZ3" s="37">
        <f>$BC$1*$AU$9/2</f>
        <v>0</v>
      </c>
      <c r="BA3" s="37">
        <f>$BC$1/8*$BJ$9</f>
        <v>0</v>
      </c>
      <c r="BB3" s="37">
        <f>$BC$1*$AT$9</f>
        <v>0</v>
      </c>
      <c r="BC3" s="15">
        <f>$BC$1*$AS$9</f>
        <v>0</v>
      </c>
      <c r="BD3" s="40">
        <f>(AX3)+(AY3)+(AZ3)+(BC3)</f>
        <v>0</v>
      </c>
      <c r="BE3" s="39"/>
      <c r="BF3" s="39"/>
    </row>
    <row r="4" spans="1:66" x14ac:dyDescent="0.25">
      <c r="L4" s="34" t="s">
        <v>14</v>
      </c>
      <c r="M4" s="34" t="s">
        <v>15</v>
      </c>
      <c r="O4" s="34" t="s">
        <v>0</v>
      </c>
      <c r="P4" s="3">
        <f>DATEVALUE("1"&amp;L5&amp;M5)</f>
        <v>45778</v>
      </c>
      <c r="AX4" s="15"/>
      <c r="AY4" s="15"/>
      <c r="AZ4" s="15"/>
      <c r="BA4" s="15"/>
      <c r="BB4" s="15"/>
      <c r="BC4" s="15"/>
      <c r="BD4" s="32"/>
      <c r="BE4" s="39"/>
      <c r="BF4" s="39"/>
    </row>
    <row r="5" spans="1:66" x14ac:dyDescent="0.25">
      <c r="L5" s="2" t="s">
        <v>6</v>
      </c>
      <c r="M5" s="2">
        <v>2025</v>
      </c>
      <c r="O5" s="34" t="s">
        <v>1</v>
      </c>
      <c r="P5" s="3">
        <f>EOMONTH(P4,0)</f>
        <v>45808</v>
      </c>
      <c r="AX5" s="10"/>
      <c r="AY5" s="10"/>
      <c r="AZ5" s="10"/>
      <c r="BA5" s="10"/>
      <c r="BB5" s="10"/>
      <c r="BC5" s="38"/>
      <c r="BD5" s="10"/>
      <c r="BI5" s="11"/>
      <c r="BJ5" s="11"/>
      <c r="BL5" s="11"/>
    </row>
    <row r="6" spans="1:66" x14ac:dyDescent="0.25">
      <c r="A6" s="32" t="s">
        <v>86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2"/>
      <c r="P6" s="13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X6" s="10"/>
      <c r="AZ6" s="48" t="s">
        <v>44</v>
      </c>
      <c r="BA6" s="48"/>
      <c r="BB6" s="48"/>
      <c r="BE6" s="51" t="s">
        <v>45</v>
      </c>
      <c r="BF6" s="51"/>
      <c r="BG6" s="52"/>
    </row>
    <row r="7" spans="1:6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8" t="str">
        <f t="shared" ref="M7:AQ7" si="0">TEXT(M8,"Ddd")</f>
        <v>Thu</v>
      </c>
      <c r="N7" s="8" t="str">
        <f t="shared" si="0"/>
        <v>Fri</v>
      </c>
      <c r="O7" s="8" t="str">
        <f t="shared" si="0"/>
        <v>Sat</v>
      </c>
      <c r="P7" s="8" t="str">
        <f t="shared" si="0"/>
        <v>Sun</v>
      </c>
      <c r="Q7" s="8" t="str">
        <f t="shared" si="0"/>
        <v>Mon</v>
      </c>
      <c r="R7" s="8" t="str">
        <f t="shared" si="0"/>
        <v>Tue</v>
      </c>
      <c r="S7" s="8" t="str">
        <f t="shared" si="0"/>
        <v>Wed</v>
      </c>
      <c r="T7" s="8" t="str">
        <f t="shared" si="0"/>
        <v>Thu</v>
      </c>
      <c r="U7" s="8" t="str">
        <f t="shared" si="0"/>
        <v>Fri</v>
      </c>
      <c r="V7" s="8" t="str">
        <f t="shared" si="0"/>
        <v>Sat</v>
      </c>
      <c r="W7" s="8" t="str">
        <f t="shared" si="0"/>
        <v>Sun</v>
      </c>
      <c r="X7" s="8" t="str">
        <f t="shared" si="0"/>
        <v>Mon</v>
      </c>
      <c r="Y7" s="8" t="str">
        <f t="shared" si="0"/>
        <v>Tue</v>
      </c>
      <c r="Z7" s="8" t="str">
        <f t="shared" si="0"/>
        <v>Wed</v>
      </c>
      <c r="AA7" s="8" t="str">
        <f t="shared" si="0"/>
        <v>Thu</v>
      </c>
      <c r="AB7" s="8" t="str">
        <f t="shared" si="0"/>
        <v>Fri</v>
      </c>
      <c r="AC7" s="8" t="str">
        <f t="shared" si="0"/>
        <v>Sat</v>
      </c>
      <c r="AD7" s="8" t="str">
        <f t="shared" si="0"/>
        <v>Sun</v>
      </c>
      <c r="AE7" s="8" t="str">
        <f t="shared" si="0"/>
        <v>Mon</v>
      </c>
      <c r="AF7" s="8" t="str">
        <f t="shared" si="0"/>
        <v>Tue</v>
      </c>
      <c r="AG7" s="8" t="str">
        <f t="shared" si="0"/>
        <v>Wed</v>
      </c>
      <c r="AH7" s="8" t="str">
        <f t="shared" si="0"/>
        <v>Thu</v>
      </c>
      <c r="AI7" s="8" t="str">
        <f t="shared" si="0"/>
        <v>Fri</v>
      </c>
      <c r="AJ7" s="8" t="str">
        <f t="shared" si="0"/>
        <v>Sat</v>
      </c>
      <c r="AK7" s="8" t="str">
        <f t="shared" si="0"/>
        <v>Sun</v>
      </c>
      <c r="AL7" s="8" t="str">
        <f t="shared" si="0"/>
        <v>Mon</v>
      </c>
      <c r="AM7" s="8" t="str">
        <f t="shared" si="0"/>
        <v>Tue</v>
      </c>
      <c r="AN7" s="8" t="str">
        <f t="shared" si="0"/>
        <v>Wed</v>
      </c>
      <c r="AO7" s="8" t="str">
        <f t="shared" si="0"/>
        <v>Thu</v>
      </c>
      <c r="AP7" s="8" t="str">
        <f t="shared" si="0"/>
        <v>Fri</v>
      </c>
      <c r="AQ7" s="8" t="str">
        <f t="shared" si="0"/>
        <v>Sat</v>
      </c>
      <c r="AX7" s="10"/>
      <c r="AY7" s="10"/>
      <c r="AZ7" s="28">
        <v>0.03</v>
      </c>
      <c r="BA7" s="28">
        <v>0.05</v>
      </c>
      <c r="BB7" s="28">
        <v>7.0000000000000007E-2</v>
      </c>
      <c r="BC7" s="10"/>
      <c r="BE7" s="29">
        <v>0.12</v>
      </c>
      <c r="BF7" s="29">
        <v>0.02</v>
      </c>
      <c r="BH7" s="10"/>
      <c r="BM7" s="10"/>
      <c r="BN7" s="10"/>
    </row>
    <row r="8" spans="1:66" x14ac:dyDescent="0.25">
      <c r="A8" s="14" t="s">
        <v>16</v>
      </c>
      <c r="B8" s="14" t="s">
        <v>17</v>
      </c>
      <c r="C8" s="14" t="s">
        <v>58</v>
      </c>
      <c r="D8" s="14" t="s">
        <v>59</v>
      </c>
      <c r="E8" s="14" t="s">
        <v>60</v>
      </c>
      <c r="F8" s="14" t="s">
        <v>61</v>
      </c>
      <c r="G8" s="14" t="s">
        <v>18</v>
      </c>
      <c r="H8" s="14" t="s">
        <v>41</v>
      </c>
      <c r="I8" s="14" t="s">
        <v>64</v>
      </c>
      <c r="J8" s="14" t="s">
        <v>63</v>
      </c>
      <c r="K8" s="14" t="s">
        <v>65</v>
      </c>
      <c r="L8" s="14" t="s">
        <v>20</v>
      </c>
      <c r="M8" s="46">
        <f>P4</f>
        <v>45778</v>
      </c>
      <c r="N8" s="46">
        <f t="shared" ref="N8:AM8" si="1">M8+1</f>
        <v>45779</v>
      </c>
      <c r="O8" s="46">
        <f t="shared" si="1"/>
        <v>45780</v>
      </c>
      <c r="P8" s="46">
        <f t="shared" si="1"/>
        <v>45781</v>
      </c>
      <c r="Q8" s="46">
        <f t="shared" si="1"/>
        <v>45782</v>
      </c>
      <c r="R8" s="46">
        <f t="shared" si="1"/>
        <v>45783</v>
      </c>
      <c r="S8" s="46">
        <f t="shared" si="1"/>
        <v>45784</v>
      </c>
      <c r="T8" s="46">
        <f t="shared" si="1"/>
        <v>45785</v>
      </c>
      <c r="U8" s="46">
        <f t="shared" si="1"/>
        <v>45786</v>
      </c>
      <c r="V8" s="46">
        <f t="shared" si="1"/>
        <v>45787</v>
      </c>
      <c r="W8" s="46">
        <f t="shared" si="1"/>
        <v>45788</v>
      </c>
      <c r="X8" s="46">
        <f t="shared" si="1"/>
        <v>45789</v>
      </c>
      <c r="Y8" s="46">
        <f t="shared" si="1"/>
        <v>45790</v>
      </c>
      <c r="Z8" s="46">
        <f t="shared" si="1"/>
        <v>45791</v>
      </c>
      <c r="AA8" s="46">
        <f t="shared" si="1"/>
        <v>45792</v>
      </c>
      <c r="AB8" s="46">
        <f t="shared" si="1"/>
        <v>45793</v>
      </c>
      <c r="AC8" s="46">
        <f t="shared" si="1"/>
        <v>45794</v>
      </c>
      <c r="AD8" s="46">
        <f t="shared" si="1"/>
        <v>45795</v>
      </c>
      <c r="AE8" s="46">
        <f t="shared" si="1"/>
        <v>45796</v>
      </c>
      <c r="AF8" s="46">
        <f t="shared" si="1"/>
        <v>45797</v>
      </c>
      <c r="AG8" s="46">
        <f t="shared" si="1"/>
        <v>45798</v>
      </c>
      <c r="AH8" s="46">
        <f t="shared" si="1"/>
        <v>45799</v>
      </c>
      <c r="AI8" s="46">
        <f t="shared" si="1"/>
        <v>45800</v>
      </c>
      <c r="AJ8" s="46">
        <f t="shared" si="1"/>
        <v>45801</v>
      </c>
      <c r="AK8" s="46">
        <f t="shared" si="1"/>
        <v>45802</v>
      </c>
      <c r="AL8" s="46">
        <f t="shared" si="1"/>
        <v>45803</v>
      </c>
      <c r="AM8" s="46">
        <f t="shared" si="1"/>
        <v>45804</v>
      </c>
      <c r="AN8" s="46">
        <f>IF(AM8&lt;$P$5,AM8+1," ")</f>
        <v>45805</v>
      </c>
      <c r="AO8" s="46">
        <f>IF(AN8&lt;$P$5,AN8+1," ")</f>
        <v>45806</v>
      </c>
      <c r="AP8" s="46">
        <f>IF(AO8&lt;$P$5,AO8+1," ")</f>
        <v>45807</v>
      </c>
      <c r="AQ8" s="46">
        <f>IF(AP8&lt;$P$5,AP8+1," ")</f>
        <v>45808</v>
      </c>
      <c r="AR8" s="21" t="s">
        <v>42</v>
      </c>
      <c r="AS8" s="18" t="s">
        <v>25</v>
      </c>
      <c r="AT8" s="22" t="s">
        <v>38</v>
      </c>
      <c r="AU8" s="23" t="s">
        <v>39</v>
      </c>
      <c r="AV8" s="23" t="s">
        <v>87</v>
      </c>
      <c r="AW8" s="24" t="s">
        <v>40</v>
      </c>
      <c r="AX8" s="25" t="s">
        <v>43</v>
      </c>
      <c r="AY8" s="4" t="s">
        <v>46</v>
      </c>
      <c r="AZ8" s="4" t="s">
        <v>49</v>
      </c>
      <c r="BA8" s="26" t="s">
        <v>50</v>
      </c>
      <c r="BB8" s="8" t="s">
        <v>51</v>
      </c>
      <c r="BC8" s="27" t="s">
        <v>52</v>
      </c>
      <c r="BD8" s="20" t="s">
        <v>53</v>
      </c>
      <c r="BE8" s="7" t="s">
        <v>54</v>
      </c>
      <c r="BF8" s="9" t="s">
        <v>69</v>
      </c>
      <c r="BG8" s="45" t="s">
        <v>95</v>
      </c>
      <c r="BH8" s="27" t="s">
        <v>55</v>
      </c>
      <c r="BI8" s="7" t="s">
        <v>48</v>
      </c>
      <c r="BJ8" s="5" t="s">
        <v>62</v>
      </c>
      <c r="BK8" s="6" t="s">
        <v>47</v>
      </c>
      <c r="BL8" s="19" t="s">
        <v>56</v>
      </c>
      <c r="BM8" s="20" t="s">
        <v>57</v>
      </c>
      <c r="BN8" s="44" t="s">
        <v>91</v>
      </c>
    </row>
    <row r="9" spans="1:66" x14ac:dyDescent="0.25">
      <c r="A9" s="30" t="str">
        <f>$A$6&amp;IF(B9="","",COUNTA($B$9:B9)+100)</f>
        <v>SK-</v>
      </c>
      <c r="B9" s="15"/>
      <c r="C9" s="15"/>
      <c r="D9" s="15"/>
      <c r="E9" s="15"/>
      <c r="F9" s="15"/>
      <c r="G9" s="16"/>
      <c r="H9" s="16"/>
      <c r="I9" s="17"/>
      <c r="J9" s="17"/>
      <c r="K9" s="12" t="str">
        <f>IF($J9=""," ","Emp. Resign this Company")</f>
        <v xml:space="preserve"> </v>
      </c>
      <c r="L9" s="1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5">
        <f>COUNTA(M9:AQ9)</f>
        <v>0</v>
      </c>
      <c r="AS9" s="15">
        <f>COUNTIF(M9:AQ9,"P")</f>
        <v>0</v>
      </c>
      <c r="AT9" s="15">
        <f>COUNTIF(M9:AQ9,"A")</f>
        <v>0</v>
      </c>
      <c r="AU9" s="15">
        <f>COUNTIF(M9:AQ9,"L")</f>
        <v>0</v>
      </c>
      <c r="AV9" s="15">
        <f>COUNTIF(M9:AQ9,"SUN")</f>
        <v>0</v>
      </c>
      <c r="AW9" s="15">
        <f>COUNTIF(M9:AQ9,"H")</f>
        <v>0</v>
      </c>
      <c r="AX9" s="15">
        <f>($AR9-$AT9)-($AW9/2)-($AU9/2)</f>
        <v>0</v>
      </c>
      <c r="AY9" s="15"/>
      <c r="AZ9" s="15">
        <f>$AY9*$AZ$7</f>
        <v>0</v>
      </c>
      <c r="BA9" s="15">
        <f>$AY9*$BA$7</f>
        <v>0</v>
      </c>
      <c r="BB9" s="15">
        <f>$AY9*$BB$7</f>
        <v>0</v>
      </c>
      <c r="BC9" s="15">
        <f>$AZ9+$BA9+$BB9</f>
        <v>0</v>
      </c>
      <c r="BD9" s="37">
        <f>($AY9+$BC9)</f>
        <v>0</v>
      </c>
      <c r="BE9" s="15">
        <f>$AY9*$BE$7</f>
        <v>0</v>
      </c>
      <c r="BF9" s="15">
        <f>$AY9*$BF$7</f>
        <v>0</v>
      </c>
      <c r="BG9" s="41">
        <f>$BC$1*$AT9</f>
        <v>0</v>
      </c>
      <c r="BH9" s="37">
        <f>$BE9+$BF9+$BG9</f>
        <v>0</v>
      </c>
      <c r="BI9" s="1"/>
      <c r="BJ9" s="15"/>
      <c r="BK9" s="15">
        <f>IF($BA$4="",$AY9/30/8*$BJ9,$BA4*$BJ9)</f>
        <v>0</v>
      </c>
      <c r="BL9" s="37">
        <f>($BD9-$BH9)-$BI9</f>
        <v>0</v>
      </c>
      <c r="BM9" s="17"/>
      <c r="BN9" s="15"/>
    </row>
    <row r="10" spans="1:66" x14ac:dyDescent="0.25">
      <c r="A10" s="30" t="str">
        <f>$A$6&amp;IF(B10="","",COUNTA($B$9:B10)+100)</f>
        <v>SK-</v>
      </c>
      <c r="B10" s="15"/>
      <c r="C10" s="15"/>
      <c r="D10" s="15"/>
      <c r="E10" s="15"/>
      <c r="F10" s="15"/>
      <c r="G10" s="16"/>
      <c r="H10" s="16"/>
      <c r="I10" s="17"/>
      <c r="J10" s="17"/>
      <c r="K10" s="12" t="str">
        <f t="shared" ref="K10:K21" si="2">IF($J10=""," ","Emp. Resign this Company")</f>
        <v xml:space="preserve"> </v>
      </c>
      <c r="L10" s="1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5">
        <f t="shared" ref="AR10:AR21" si="3">COUNTA(M10:AQ10)</f>
        <v>0</v>
      </c>
      <c r="AS10" s="15">
        <f t="shared" ref="AS10:AS21" si="4">COUNTIF(M10:AQ10,"P")</f>
        <v>0</v>
      </c>
      <c r="AT10" s="15">
        <f t="shared" ref="AT10:AT21" si="5">COUNTIF(M10:AQ10,"A")</f>
        <v>0</v>
      </c>
      <c r="AU10" s="15">
        <f t="shared" ref="AU10:AU21" si="6">COUNTIF(M10:AQ10,"L")</f>
        <v>0</v>
      </c>
      <c r="AV10" s="15">
        <f t="shared" ref="AV10:AV21" si="7">COUNTIF(M10:AQ10,"SUN")</f>
        <v>0</v>
      </c>
      <c r="AW10" s="15">
        <f t="shared" ref="AW10:AW21" si="8">COUNTIF(M10:AQ10,"H")</f>
        <v>0</v>
      </c>
      <c r="AX10" s="15">
        <f t="shared" ref="AX10:AX21" si="9">($AR10-$AT10)-($AW10/2)-($AU10/2)</f>
        <v>0</v>
      </c>
      <c r="AY10" s="15"/>
      <c r="AZ10" s="15">
        <f t="shared" ref="AZ10:AZ21" si="10">$AY10*$AZ$7</f>
        <v>0</v>
      </c>
      <c r="BA10" s="15">
        <f t="shared" ref="BA10:BA21" si="11">$AY10*$BA$7</f>
        <v>0</v>
      </c>
      <c r="BB10" s="15">
        <f t="shared" ref="BB10:BB21" si="12">$AY10*$BB$7</f>
        <v>0</v>
      </c>
      <c r="BC10" s="15">
        <f t="shared" ref="BC10:BC21" si="13">$AZ10+$BA10+$BB10</f>
        <v>0</v>
      </c>
      <c r="BD10" s="37">
        <f t="shared" ref="BD10:BD21" si="14">($AY10+$BC10)</f>
        <v>0</v>
      </c>
      <c r="BE10" s="15">
        <f t="shared" ref="BE10:BE21" si="15">$AY10*$BE$7</f>
        <v>0</v>
      </c>
      <c r="BF10" s="15">
        <f t="shared" ref="BF10:BF21" si="16">$AY10*$BF$7</f>
        <v>0</v>
      </c>
      <c r="BG10" s="41">
        <f t="shared" ref="BG10:BG21" si="17">$BC$1*$AT10</f>
        <v>0</v>
      </c>
      <c r="BH10" s="37">
        <f t="shared" ref="BH10:BH21" si="18">$BE10+$BF10+$BG10</f>
        <v>0</v>
      </c>
      <c r="BI10" s="1"/>
      <c r="BJ10" s="15"/>
      <c r="BK10" s="15">
        <f t="shared" ref="BK10:BK21" si="19">IF($BA$4="",$AY10/30/8*$BJ10,$BA5*$BJ10)</f>
        <v>0</v>
      </c>
      <c r="BL10" s="37">
        <f t="shared" ref="BL10:BL21" si="20">($BD10-$BH10)-$BI10</f>
        <v>0</v>
      </c>
      <c r="BM10" s="15"/>
      <c r="BN10" s="15"/>
    </row>
    <row r="11" spans="1:66" x14ac:dyDescent="0.25">
      <c r="A11" s="30" t="str">
        <f>$A$6&amp;IF(B11="","",COUNTA($B$9:B11)+100)</f>
        <v>SK-</v>
      </c>
      <c r="B11" s="15"/>
      <c r="C11" s="15"/>
      <c r="D11" s="15"/>
      <c r="E11" s="15"/>
      <c r="F11" s="15"/>
      <c r="G11" s="16"/>
      <c r="H11" s="16"/>
      <c r="I11" s="17"/>
      <c r="J11" s="15"/>
      <c r="K11" s="12" t="str">
        <f t="shared" si="2"/>
        <v xml:space="preserve"> </v>
      </c>
      <c r="L11" s="1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5">
        <f t="shared" si="3"/>
        <v>0</v>
      </c>
      <c r="AS11" s="15">
        <f t="shared" si="4"/>
        <v>0</v>
      </c>
      <c r="AT11" s="15">
        <f t="shared" si="5"/>
        <v>0</v>
      </c>
      <c r="AU11" s="15">
        <f t="shared" si="6"/>
        <v>0</v>
      </c>
      <c r="AV11" s="15">
        <f t="shared" si="7"/>
        <v>0</v>
      </c>
      <c r="AW11" s="15">
        <f t="shared" si="8"/>
        <v>0</v>
      </c>
      <c r="AX11" s="15">
        <f t="shared" si="9"/>
        <v>0</v>
      </c>
      <c r="AY11" s="15"/>
      <c r="AZ11" s="15">
        <f t="shared" si="10"/>
        <v>0</v>
      </c>
      <c r="BA11" s="15">
        <f t="shared" si="11"/>
        <v>0</v>
      </c>
      <c r="BB11" s="15">
        <f t="shared" si="12"/>
        <v>0</v>
      </c>
      <c r="BC11" s="15">
        <f t="shared" si="13"/>
        <v>0</v>
      </c>
      <c r="BD11" s="37">
        <f t="shared" si="14"/>
        <v>0</v>
      </c>
      <c r="BE11" s="15">
        <f t="shared" si="15"/>
        <v>0</v>
      </c>
      <c r="BF11" s="15">
        <f t="shared" si="16"/>
        <v>0</v>
      </c>
      <c r="BG11" s="41">
        <f t="shared" si="17"/>
        <v>0</v>
      </c>
      <c r="BH11" s="37">
        <f t="shared" si="18"/>
        <v>0</v>
      </c>
      <c r="BI11" s="1"/>
      <c r="BJ11" s="15"/>
      <c r="BK11" s="15">
        <f t="shared" si="19"/>
        <v>0</v>
      </c>
      <c r="BL11" s="37">
        <f t="shared" si="20"/>
        <v>0</v>
      </c>
      <c r="BM11" s="15"/>
      <c r="BN11" s="15"/>
    </row>
    <row r="12" spans="1:66" x14ac:dyDescent="0.25">
      <c r="A12" s="30" t="str">
        <f>$A$6&amp;IF(B12="","",COUNTA($B$9:B12)+100)</f>
        <v>SK-</v>
      </c>
      <c r="B12" s="15"/>
      <c r="C12" s="15"/>
      <c r="D12" s="15"/>
      <c r="E12" s="15"/>
      <c r="F12" s="15"/>
      <c r="G12" s="16"/>
      <c r="H12" s="16"/>
      <c r="I12" s="17"/>
      <c r="J12" s="15"/>
      <c r="K12" s="12" t="str">
        <f t="shared" si="2"/>
        <v xml:space="preserve"> </v>
      </c>
      <c r="L12" s="1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5">
        <f t="shared" si="3"/>
        <v>0</v>
      </c>
      <c r="AS12" s="15">
        <f t="shared" si="4"/>
        <v>0</v>
      </c>
      <c r="AT12" s="15">
        <f t="shared" si="5"/>
        <v>0</v>
      </c>
      <c r="AU12" s="15">
        <f t="shared" si="6"/>
        <v>0</v>
      </c>
      <c r="AV12" s="15">
        <f t="shared" si="7"/>
        <v>0</v>
      </c>
      <c r="AW12" s="15">
        <f>COUNTIF(M12:AQ12,"H")</f>
        <v>0</v>
      </c>
      <c r="AX12" s="15">
        <f t="shared" si="9"/>
        <v>0</v>
      </c>
      <c r="AY12" s="15"/>
      <c r="AZ12" s="15">
        <f t="shared" si="10"/>
        <v>0</v>
      </c>
      <c r="BA12" s="15">
        <f t="shared" si="11"/>
        <v>0</v>
      </c>
      <c r="BB12" s="15">
        <f t="shared" si="12"/>
        <v>0</v>
      </c>
      <c r="BC12" s="15">
        <f t="shared" si="13"/>
        <v>0</v>
      </c>
      <c r="BD12" s="37">
        <f t="shared" si="14"/>
        <v>0</v>
      </c>
      <c r="BE12" s="15">
        <f t="shared" si="15"/>
        <v>0</v>
      </c>
      <c r="BF12" s="15">
        <f t="shared" si="16"/>
        <v>0</v>
      </c>
      <c r="BG12" s="41">
        <f t="shared" si="17"/>
        <v>0</v>
      </c>
      <c r="BH12" s="37">
        <f t="shared" si="18"/>
        <v>0</v>
      </c>
      <c r="BI12" s="1"/>
      <c r="BJ12" s="15"/>
      <c r="BK12" s="15">
        <f t="shared" si="19"/>
        <v>0</v>
      </c>
      <c r="BL12" s="37">
        <f t="shared" si="20"/>
        <v>0</v>
      </c>
      <c r="BM12" s="15"/>
      <c r="BN12" s="15"/>
    </row>
    <row r="13" spans="1:66" x14ac:dyDescent="0.25">
      <c r="A13" s="30" t="str">
        <f>$A$6&amp;IF(B13="","",COUNTA($B$9:B13)+100)</f>
        <v>SK-</v>
      </c>
      <c r="B13" s="15"/>
      <c r="C13" s="15"/>
      <c r="D13" s="15"/>
      <c r="E13" s="15"/>
      <c r="F13" s="15"/>
      <c r="G13" s="16"/>
      <c r="H13" s="16"/>
      <c r="I13" s="17"/>
      <c r="J13" s="17"/>
      <c r="K13" s="12" t="str">
        <f t="shared" si="2"/>
        <v xml:space="preserve"> </v>
      </c>
      <c r="L13" s="1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5">
        <f t="shared" si="3"/>
        <v>0</v>
      </c>
      <c r="AS13" s="15">
        <f t="shared" si="4"/>
        <v>0</v>
      </c>
      <c r="AT13" s="15">
        <f t="shared" si="5"/>
        <v>0</v>
      </c>
      <c r="AU13" s="15">
        <f t="shared" si="6"/>
        <v>0</v>
      </c>
      <c r="AV13" s="15">
        <f t="shared" si="7"/>
        <v>0</v>
      </c>
      <c r="AW13" s="15">
        <f t="shared" si="8"/>
        <v>0</v>
      </c>
      <c r="AX13" s="15">
        <f t="shared" si="9"/>
        <v>0</v>
      </c>
      <c r="AY13" s="15"/>
      <c r="AZ13" s="15">
        <f t="shared" si="10"/>
        <v>0</v>
      </c>
      <c r="BA13" s="15">
        <f t="shared" si="11"/>
        <v>0</v>
      </c>
      <c r="BB13" s="15">
        <f t="shared" si="12"/>
        <v>0</v>
      </c>
      <c r="BC13" s="15">
        <f t="shared" si="13"/>
        <v>0</v>
      </c>
      <c r="BD13" s="37">
        <f t="shared" si="14"/>
        <v>0</v>
      </c>
      <c r="BE13" s="15">
        <f t="shared" si="15"/>
        <v>0</v>
      </c>
      <c r="BF13" s="15">
        <f t="shared" si="16"/>
        <v>0</v>
      </c>
      <c r="BG13" s="41">
        <f t="shared" si="17"/>
        <v>0</v>
      </c>
      <c r="BH13" s="37">
        <f t="shared" si="18"/>
        <v>0</v>
      </c>
      <c r="BI13" s="1"/>
      <c r="BJ13" s="15"/>
      <c r="BK13" s="15">
        <f t="shared" si="19"/>
        <v>0</v>
      </c>
      <c r="BL13" s="37">
        <f t="shared" si="20"/>
        <v>0</v>
      </c>
      <c r="BM13" s="15"/>
      <c r="BN13" s="15"/>
    </row>
    <row r="14" spans="1:66" x14ac:dyDescent="0.25">
      <c r="A14" s="30" t="str">
        <f>$A$6&amp;IF(B14="","",COUNTA($B$9:B14)+100)</f>
        <v>SK-</v>
      </c>
      <c r="B14" s="15"/>
      <c r="C14" s="15"/>
      <c r="D14" s="15"/>
      <c r="E14" s="15"/>
      <c r="F14" s="15"/>
      <c r="G14" s="16"/>
      <c r="H14" s="16"/>
      <c r="I14" s="17"/>
      <c r="J14" s="15"/>
      <c r="K14" s="12" t="str">
        <f t="shared" si="2"/>
        <v xml:space="preserve"> </v>
      </c>
      <c r="L14" s="1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5">
        <f t="shared" si="3"/>
        <v>0</v>
      </c>
      <c r="AS14" s="15">
        <f t="shared" si="4"/>
        <v>0</v>
      </c>
      <c r="AT14" s="15">
        <f t="shared" si="5"/>
        <v>0</v>
      </c>
      <c r="AU14" s="15">
        <f t="shared" si="6"/>
        <v>0</v>
      </c>
      <c r="AV14" s="15">
        <f t="shared" si="7"/>
        <v>0</v>
      </c>
      <c r="AW14" s="15">
        <f t="shared" si="8"/>
        <v>0</v>
      </c>
      <c r="AX14" s="15">
        <f t="shared" si="9"/>
        <v>0</v>
      </c>
      <c r="AY14" s="15"/>
      <c r="AZ14" s="15">
        <f t="shared" si="10"/>
        <v>0</v>
      </c>
      <c r="BA14" s="15">
        <f t="shared" si="11"/>
        <v>0</v>
      </c>
      <c r="BB14" s="15">
        <f t="shared" si="12"/>
        <v>0</v>
      </c>
      <c r="BC14" s="15">
        <f t="shared" si="13"/>
        <v>0</v>
      </c>
      <c r="BD14" s="37">
        <f t="shared" si="14"/>
        <v>0</v>
      </c>
      <c r="BE14" s="15">
        <f t="shared" si="15"/>
        <v>0</v>
      </c>
      <c r="BF14" s="15">
        <f t="shared" si="16"/>
        <v>0</v>
      </c>
      <c r="BG14" s="41">
        <f t="shared" si="17"/>
        <v>0</v>
      </c>
      <c r="BH14" s="37">
        <f t="shared" si="18"/>
        <v>0</v>
      </c>
      <c r="BI14" s="1"/>
      <c r="BJ14" s="15"/>
      <c r="BK14" s="15">
        <f t="shared" si="19"/>
        <v>0</v>
      </c>
      <c r="BL14" s="37">
        <f t="shared" si="20"/>
        <v>0</v>
      </c>
      <c r="BM14" s="15"/>
      <c r="BN14" s="15"/>
    </row>
    <row r="15" spans="1:66" x14ac:dyDescent="0.25">
      <c r="A15" s="30" t="str">
        <f>$A$6&amp;IF(B15="","",COUNTA($B$9:B15)+100)</f>
        <v>SK-</v>
      </c>
      <c r="B15" s="15"/>
      <c r="C15" s="15"/>
      <c r="D15" s="15"/>
      <c r="E15" s="15"/>
      <c r="F15" s="15"/>
      <c r="G15" s="16"/>
      <c r="H15" s="16"/>
      <c r="I15" s="17"/>
      <c r="J15" s="15"/>
      <c r="K15" s="12" t="str">
        <f t="shared" si="2"/>
        <v xml:space="preserve"> </v>
      </c>
      <c r="L15" s="1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5">
        <f t="shared" si="3"/>
        <v>0</v>
      </c>
      <c r="AS15" s="15">
        <f t="shared" si="4"/>
        <v>0</v>
      </c>
      <c r="AT15" s="15">
        <f t="shared" si="5"/>
        <v>0</v>
      </c>
      <c r="AU15" s="15">
        <f t="shared" si="6"/>
        <v>0</v>
      </c>
      <c r="AV15" s="15">
        <f t="shared" si="7"/>
        <v>0</v>
      </c>
      <c r="AW15" s="15">
        <f t="shared" si="8"/>
        <v>0</v>
      </c>
      <c r="AX15" s="15">
        <f t="shared" si="9"/>
        <v>0</v>
      </c>
      <c r="AY15" s="15"/>
      <c r="AZ15" s="15">
        <f t="shared" si="10"/>
        <v>0</v>
      </c>
      <c r="BA15" s="15">
        <f t="shared" si="11"/>
        <v>0</v>
      </c>
      <c r="BB15" s="15">
        <f t="shared" si="12"/>
        <v>0</v>
      </c>
      <c r="BC15" s="15">
        <f t="shared" si="13"/>
        <v>0</v>
      </c>
      <c r="BD15" s="37">
        <f t="shared" si="14"/>
        <v>0</v>
      </c>
      <c r="BE15" s="15">
        <f t="shared" si="15"/>
        <v>0</v>
      </c>
      <c r="BF15" s="15">
        <f t="shared" si="16"/>
        <v>0</v>
      </c>
      <c r="BG15" s="41">
        <f t="shared" si="17"/>
        <v>0</v>
      </c>
      <c r="BH15" s="37">
        <f t="shared" si="18"/>
        <v>0</v>
      </c>
      <c r="BI15" s="1"/>
      <c r="BJ15" s="15"/>
      <c r="BK15" s="15">
        <f t="shared" si="19"/>
        <v>0</v>
      </c>
      <c r="BL15" s="37">
        <f t="shared" si="20"/>
        <v>0</v>
      </c>
      <c r="BM15" s="15"/>
      <c r="BN15" s="15"/>
    </row>
    <row r="16" spans="1:66" x14ac:dyDescent="0.25">
      <c r="A16" s="30" t="str">
        <f>$A$6&amp;IF(B16="","",COUNTA($B$9:B16)+100)</f>
        <v>SK-</v>
      </c>
      <c r="B16" s="15"/>
      <c r="C16" s="15"/>
      <c r="D16" s="15"/>
      <c r="E16" s="15"/>
      <c r="F16" s="15"/>
      <c r="G16" s="16"/>
      <c r="H16" s="16"/>
      <c r="I16" s="17"/>
      <c r="J16" s="15"/>
      <c r="K16" s="12" t="str">
        <f t="shared" si="2"/>
        <v xml:space="preserve"> </v>
      </c>
      <c r="L16" s="1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5">
        <f t="shared" si="3"/>
        <v>0</v>
      </c>
      <c r="AS16" s="15">
        <f t="shared" si="4"/>
        <v>0</v>
      </c>
      <c r="AT16" s="15">
        <f t="shared" si="5"/>
        <v>0</v>
      </c>
      <c r="AU16" s="15">
        <f t="shared" si="6"/>
        <v>0</v>
      </c>
      <c r="AV16" s="15">
        <f t="shared" si="7"/>
        <v>0</v>
      </c>
      <c r="AW16" s="15">
        <f t="shared" si="8"/>
        <v>0</v>
      </c>
      <c r="AX16" s="15">
        <f t="shared" si="9"/>
        <v>0</v>
      </c>
      <c r="AY16" s="15"/>
      <c r="AZ16" s="15">
        <f t="shared" si="10"/>
        <v>0</v>
      </c>
      <c r="BA16" s="15">
        <f t="shared" si="11"/>
        <v>0</v>
      </c>
      <c r="BB16" s="15">
        <f t="shared" si="12"/>
        <v>0</v>
      </c>
      <c r="BC16" s="15">
        <f t="shared" si="13"/>
        <v>0</v>
      </c>
      <c r="BD16" s="37">
        <f t="shared" si="14"/>
        <v>0</v>
      </c>
      <c r="BE16" s="15">
        <f t="shared" si="15"/>
        <v>0</v>
      </c>
      <c r="BF16" s="15">
        <f t="shared" si="16"/>
        <v>0</v>
      </c>
      <c r="BG16" s="41">
        <f t="shared" si="17"/>
        <v>0</v>
      </c>
      <c r="BH16" s="37">
        <f t="shared" si="18"/>
        <v>0</v>
      </c>
      <c r="BI16" s="1"/>
      <c r="BJ16" s="15"/>
      <c r="BK16" s="15">
        <f t="shared" si="19"/>
        <v>0</v>
      </c>
      <c r="BL16" s="37">
        <f t="shared" si="20"/>
        <v>0</v>
      </c>
      <c r="BM16" s="15"/>
      <c r="BN16" s="15"/>
    </row>
    <row r="17" spans="1:66" x14ac:dyDescent="0.25">
      <c r="A17" s="30" t="str">
        <f>$A$6&amp;IF(B17="","",COUNTA($B$9:B17)+100)</f>
        <v>SK-</v>
      </c>
      <c r="B17" s="15"/>
      <c r="C17" s="15"/>
      <c r="D17" s="15"/>
      <c r="E17" s="15"/>
      <c r="F17" s="15"/>
      <c r="G17" s="16"/>
      <c r="H17" s="16"/>
      <c r="I17" s="17"/>
      <c r="J17" s="15"/>
      <c r="K17" s="12" t="str">
        <f t="shared" si="2"/>
        <v xml:space="preserve"> </v>
      </c>
      <c r="L17" s="1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5">
        <f t="shared" si="3"/>
        <v>0</v>
      </c>
      <c r="AS17" s="15">
        <f t="shared" si="4"/>
        <v>0</v>
      </c>
      <c r="AT17" s="15">
        <f t="shared" si="5"/>
        <v>0</v>
      </c>
      <c r="AU17" s="15">
        <f t="shared" si="6"/>
        <v>0</v>
      </c>
      <c r="AV17" s="15">
        <f t="shared" si="7"/>
        <v>0</v>
      </c>
      <c r="AW17" s="15">
        <f t="shared" si="8"/>
        <v>0</v>
      </c>
      <c r="AX17" s="15">
        <f t="shared" si="9"/>
        <v>0</v>
      </c>
      <c r="AY17" s="15"/>
      <c r="AZ17" s="15">
        <f t="shared" si="10"/>
        <v>0</v>
      </c>
      <c r="BA17" s="15">
        <f t="shared" si="11"/>
        <v>0</v>
      </c>
      <c r="BB17" s="15">
        <f t="shared" si="12"/>
        <v>0</v>
      </c>
      <c r="BC17" s="15">
        <f t="shared" si="13"/>
        <v>0</v>
      </c>
      <c r="BD17" s="37">
        <f t="shared" si="14"/>
        <v>0</v>
      </c>
      <c r="BE17" s="15">
        <f t="shared" si="15"/>
        <v>0</v>
      </c>
      <c r="BF17" s="15">
        <f t="shared" si="16"/>
        <v>0</v>
      </c>
      <c r="BG17" s="41">
        <f t="shared" si="17"/>
        <v>0</v>
      </c>
      <c r="BH17" s="37">
        <f t="shared" si="18"/>
        <v>0</v>
      </c>
      <c r="BI17" s="1"/>
      <c r="BJ17" s="15"/>
      <c r="BK17" s="15">
        <f t="shared" si="19"/>
        <v>0</v>
      </c>
      <c r="BL17" s="37">
        <f t="shared" si="20"/>
        <v>0</v>
      </c>
      <c r="BM17" s="15"/>
      <c r="BN17" s="15"/>
    </row>
    <row r="18" spans="1:66" x14ac:dyDescent="0.25">
      <c r="A18" s="30" t="str">
        <f>$A$6&amp;IF(B18="","",COUNTA($B$9:B18)+100)</f>
        <v>SK-</v>
      </c>
      <c r="B18" s="15"/>
      <c r="C18" s="15"/>
      <c r="D18" s="15"/>
      <c r="E18" s="15"/>
      <c r="F18" s="15"/>
      <c r="G18" s="16"/>
      <c r="H18" s="16"/>
      <c r="I18" s="17"/>
      <c r="J18" s="15"/>
      <c r="K18" s="12" t="str">
        <f t="shared" si="2"/>
        <v xml:space="preserve"> </v>
      </c>
      <c r="L18" s="1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5">
        <f t="shared" si="3"/>
        <v>0</v>
      </c>
      <c r="AS18" s="15">
        <f t="shared" si="4"/>
        <v>0</v>
      </c>
      <c r="AT18" s="15">
        <f t="shared" si="5"/>
        <v>0</v>
      </c>
      <c r="AU18" s="15">
        <f t="shared" si="6"/>
        <v>0</v>
      </c>
      <c r="AV18" s="15">
        <f t="shared" si="7"/>
        <v>0</v>
      </c>
      <c r="AW18" s="15">
        <f t="shared" si="8"/>
        <v>0</v>
      </c>
      <c r="AX18" s="15">
        <f t="shared" si="9"/>
        <v>0</v>
      </c>
      <c r="AY18" s="15"/>
      <c r="AZ18" s="15">
        <f t="shared" si="10"/>
        <v>0</v>
      </c>
      <c r="BA18" s="15">
        <f t="shared" si="11"/>
        <v>0</v>
      </c>
      <c r="BB18" s="15">
        <f t="shared" si="12"/>
        <v>0</v>
      </c>
      <c r="BC18" s="15">
        <f t="shared" si="13"/>
        <v>0</v>
      </c>
      <c r="BD18" s="37">
        <f t="shared" si="14"/>
        <v>0</v>
      </c>
      <c r="BE18" s="15">
        <f t="shared" si="15"/>
        <v>0</v>
      </c>
      <c r="BF18" s="15">
        <f t="shared" si="16"/>
        <v>0</v>
      </c>
      <c r="BG18" s="41">
        <f t="shared" si="17"/>
        <v>0</v>
      </c>
      <c r="BH18" s="37">
        <f t="shared" si="18"/>
        <v>0</v>
      </c>
      <c r="BI18" s="1"/>
      <c r="BJ18" s="15"/>
      <c r="BK18" s="15">
        <f t="shared" si="19"/>
        <v>0</v>
      </c>
      <c r="BL18" s="37">
        <f t="shared" si="20"/>
        <v>0</v>
      </c>
      <c r="BM18" s="15"/>
      <c r="BN18" s="15"/>
    </row>
    <row r="19" spans="1:66" x14ac:dyDescent="0.25">
      <c r="A19" s="30" t="str">
        <f>$A$6&amp;IF(B19="","",COUNTA($B$9:B19)+100)</f>
        <v>SK-</v>
      </c>
      <c r="B19" s="15"/>
      <c r="C19" s="15"/>
      <c r="D19" s="15"/>
      <c r="E19" s="15"/>
      <c r="F19" s="15"/>
      <c r="G19" s="16"/>
      <c r="H19" s="16"/>
      <c r="I19" s="17"/>
      <c r="J19" s="15"/>
      <c r="K19" s="12" t="str">
        <f t="shared" si="2"/>
        <v xml:space="preserve"> </v>
      </c>
      <c r="L19" s="1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5">
        <f t="shared" si="3"/>
        <v>0</v>
      </c>
      <c r="AS19" s="15">
        <f t="shared" si="4"/>
        <v>0</v>
      </c>
      <c r="AT19" s="15">
        <f t="shared" si="5"/>
        <v>0</v>
      </c>
      <c r="AU19" s="15">
        <f t="shared" si="6"/>
        <v>0</v>
      </c>
      <c r="AV19" s="15">
        <f t="shared" si="7"/>
        <v>0</v>
      </c>
      <c r="AW19" s="15">
        <f t="shared" si="8"/>
        <v>0</v>
      </c>
      <c r="AX19" s="15">
        <f t="shared" si="9"/>
        <v>0</v>
      </c>
      <c r="AY19" s="15"/>
      <c r="AZ19" s="15">
        <f t="shared" si="10"/>
        <v>0</v>
      </c>
      <c r="BA19" s="15">
        <f t="shared" si="11"/>
        <v>0</v>
      </c>
      <c r="BB19" s="15">
        <f t="shared" si="12"/>
        <v>0</v>
      </c>
      <c r="BC19" s="15">
        <f t="shared" si="13"/>
        <v>0</v>
      </c>
      <c r="BD19" s="37">
        <f t="shared" si="14"/>
        <v>0</v>
      </c>
      <c r="BE19" s="15">
        <f t="shared" si="15"/>
        <v>0</v>
      </c>
      <c r="BF19" s="15">
        <f t="shared" si="16"/>
        <v>0</v>
      </c>
      <c r="BG19" s="41">
        <f t="shared" si="17"/>
        <v>0</v>
      </c>
      <c r="BH19" s="37">
        <f t="shared" si="18"/>
        <v>0</v>
      </c>
      <c r="BI19" s="1"/>
      <c r="BJ19" s="15"/>
      <c r="BK19" s="15">
        <f t="shared" si="19"/>
        <v>0</v>
      </c>
      <c r="BL19" s="37">
        <f t="shared" si="20"/>
        <v>0</v>
      </c>
      <c r="BM19" s="15"/>
      <c r="BN19" s="15"/>
    </row>
    <row r="20" spans="1:66" x14ac:dyDescent="0.25">
      <c r="A20" s="30" t="str">
        <f>$A$6&amp;IF(B20="","",COUNTA($B$9:B20)+100)</f>
        <v>SK-</v>
      </c>
      <c r="B20" s="15"/>
      <c r="C20" s="15"/>
      <c r="D20" s="15"/>
      <c r="E20" s="15"/>
      <c r="F20" s="15"/>
      <c r="G20" s="16"/>
      <c r="H20" s="16"/>
      <c r="I20" s="17"/>
      <c r="J20" s="15"/>
      <c r="K20" s="12" t="str">
        <f t="shared" si="2"/>
        <v xml:space="preserve"> </v>
      </c>
      <c r="L20" s="1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5">
        <f t="shared" si="3"/>
        <v>0</v>
      </c>
      <c r="AS20" s="15">
        <f t="shared" si="4"/>
        <v>0</v>
      </c>
      <c r="AT20" s="15">
        <f t="shared" si="5"/>
        <v>0</v>
      </c>
      <c r="AU20" s="15">
        <f t="shared" si="6"/>
        <v>0</v>
      </c>
      <c r="AV20" s="15">
        <f t="shared" si="7"/>
        <v>0</v>
      </c>
      <c r="AW20" s="15">
        <f t="shared" si="8"/>
        <v>0</v>
      </c>
      <c r="AX20" s="15">
        <f t="shared" si="9"/>
        <v>0</v>
      </c>
      <c r="AY20" s="15"/>
      <c r="AZ20" s="15">
        <f t="shared" si="10"/>
        <v>0</v>
      </c>
      <c r="BA20" s="15">
        <f t="shared" si="11"/>
        <v>0</v>
      </c>
      <c r="BB20" s="15">
        <f t="shared" si="12"/>
        <v>0</v>
      </c>
      <c r="BC20" s="15">
        <f t="shared" si="13"/>
        <v>0</v>
      </c>
      <c r="BD20" s="37">
        <f t="shared" si="14"/>
        <v>0</v>
      </c>
      <c r="BE20" s="15">
        <f t="shared" si="15"/>
        <v>0</v>
      </c>
      <c r="BF20" s="15">
        <f t="shared" si="16"/>
        <v>0</v>
      </c>
      <c r="BG20" s="41">
        <f t="shared" si="17"/>
        <v>0</v>
      </c>
      <c r="BH20" s="37">
        <f t="shared" si="18"/>
        <v>0</v>
      </c>
      <c r="BI20" s="1"/>
      <c r="BJ20" s="15"/>
      <c r="BK20" s="15">
        <f t="shared" si="19"/>
        <v>0</v>
      </c>
      <c r="BL20" s="37">
        <f t="shared" si="20"/>
        <v>0</v>
      </c>
      <c r="BM20" s="15"/>
      <c r="BN20" s="15"/>
    </row>
    <row r="21" spans="1:66" x14ac:dyDescent="0.25">
      <c r="A21" s="30" t="str">
        <f>$A$6&amp;IF(B21="","",COUNTA($B$9:B21)+100)</f>
        <v>SK-</v>
      </c>
      <c r="B21" s="15"/>
      <c r="C21" s="15"/>
      <c r="D21" s="15"/>
      <c r="E21" s="15"/>
      <c r="F21" s="15"/>
      <c r="G21" s="16"/>
      <c r="H21" s="16"/>
      <c r="I21" s="17"/>
      <c r="J21" s="15"/>
      <c r="K21" s="12" t="str">
        <f t="shared" si="2"/>
        <v xml:space="preserve"> </v>
      </c>
      <c r="L21" s="1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5">
        <f t="shared" si="3"/>
        <v>0</v>
      </c>
      <c r="AS21" s="15">
        <f t="shared" si="4"/>
        <v>0</v>
      </c>
      <c r="AT21" s="15">
        <f t="shared" si="5"/>
        <v>0</v>
      </c>
      <c r="AU21" s="15">
        <f t="shared" si="6"/>
        <v>0</v>
      </c>
      <c r="AV21" s="15">
        <f t="shared" si="7"/>
        <v>0</v>
      </c>
      <c r="AW21" s="15">
        <f t="shared" si="8"/>
        <v>0</v>
      </c>
      <c r="AX21" s="15">
        <f t="shared" si="9"/>
        <v>0</v>
      </c>
      <c r="AY21" s="15"/>
      <c r="AZ21" s="15">
        <f t="shared" si="10"/>
        <v>0</v>
      </c>
      <c r="BA21" s="15">
        <f t="shared" si="11"/>
        <v>0</v>
      </c>
      <c r="BB21" s="15">
        <f t="shared" si="12"/>
        <v>0</v>
      </c>
      <c r="BC21" s="15">
        <f t="shared" si="13"/>
        <v>0</v>
      </c>
      <c r="BD21" s="37">
        <f t="shared" si="14"/>
        <v>0</v>
      </c>
      <c r="BE21" s="15">
        <f t="shared" si="15"/>
        <v>0</v>
      </c>
      <c r="BF21" s="15">
        <f t="shared" si="16"/>
        <v>0</v>
      </c>
      <c r="BG21" s="41">
        <f t="shared" si="17"/>
        <v>0</v>
      </c>
      <c r="BH21" s="37">
        <f t="shared" si="18"/>
        <v>0</v>
      </c>
      <c r="BI21" s="1"/>
      <c r="BJ21" s="15"/>
      <c r="BK21" s="15">
        <f t="shared" si="19"/>
        <v>0</v>
      </c>
      <c r="BL21" s="37">
        <f t="shared" si="20"/>
        <v>0</v>
      </c>
      <c r="BM21" s="15"/>
      <c r="BN21" s="15"/>
    </row>
  </sheetData>
  <mergeCells count="3">
    <mergeCell ref="A1:AR2"/>
    <mergeCell ref="AZ6:BB6"/>
    <mergeCell ref="BE6:BG6"/>
  </mergeCells>
  <conditionalFormatting sqref="A9:A21">
    <cfRule type="expression" dxfId="103" priority="9">
      <formula>A9="SK-"</formula>
    </cfRule>
  </conditionalFormatting>
  <conditionalFormatting sqref="K9:K21">
    <cfRule type="expression" dxfId="102" priority="10">
      <formula>K9:K21="Emp. Resign this Company"</formula>
    </cfRule>
  </conditionalFormatting>
  <conditionalFormatting sqref="M9:AQ21">
    <cfRule type="expression" dxfId="101" priority="5">
      <formula>M9="P"</formula>
    </cfRule>
    <cfRule type="expression" dxfId="100" priority="6">
      <formula>M9="L"</formula>
    </cfRule>
    <cfRule type="expression" dxfId="99" priority="7">
      <formula>M9="H"</formula>
    </cfRule>
    <cfRule type="expression" dxfId="98" priority="8">
      <formula>M9="A"</formula>
    </cfRule>
    <cfRule type="expression" dxfId="97" priority="13">
      <formula>M$7="sun"</formula>
    </cfRule>
  </conditionalFormatting>
  <conditionalFormatting sqref="AO8">
    <cfRule type="expression" dxfId="96" priority="12">
      <formula>$AO$8=DATEVLUE(1/29/2024)</formula>
    </cfRule>
  </conditionalFormatting>
  <conditionalFormatting sqref="AP8">
    <cfRule type="expression" dxfId="95" priority="11">
      <formula>$AP$8=DATEVALUE("2/30/2024")</formula>
    </cfRule>
  </conditionalFormatting>
  <conditionalFormatting sqref="AR9:BL21">
    <cfRule type="expression" dxfId="94" priority="4">
      <formula>AR9=0</formula>
    </cfRule>
  </conditionalFormatting>
  <conditionalFormatting sqref="BM9:BN21">
    <cfRule type="expression" dxfId="93" priority="1">
      <formula>$BN9="Process"</formula>
    </cfRule>
    <cfRule type="expression" dxfId="92" priority="2">
      <formula>$BN9="Pending"</formula>
    </cfRule>
    <cfRule type="expression" dxfId="91" priority="3">
      <formula>$BN9="done"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'data sheet'!$D$2:$D$4</xm:f>
          </x14:formula1>
          <xm:sqref>BN9:BN21</xm:sqref>
        </x14:dataValidation>
        <x14:dataValidation type="list" allowBlank="1" showInputMessage="1" showErrorMessage="1">
          <x14:formula1>
            <xm:f>'data sheet'!$Q$1:$Q$12</xm:f>
          </x14:formula1>
          <xm:sqref>L5</xm:sqref>
        </x14:dataValidation>
        <x14:dataValidation type="list" allowBlank="1" showInputMessage="1" showErrorMessage="1">
          <x14:formula1>
            <xm:f>'data sheet'!$P$1:$P$99</xm:f>
          </x14:formula1>
          <xm:sqref>M5</xm:sqref>
        </x14:dataValidation>
        <x14:dataValidation type="list" allowBlank="1" showInputMessage="1" showErrorMessage="1">
          <x14:formula1>
            <xm:f>'data sheet'!$C$2:$C$9</xm:f>
          </x14:formula1>
          <xm:sqref>D9:D21</xm:sqref>
        </x14:dataValidation>
        <x14:dataValidation type="list" allowBlank="1" showInputMessage="1" showErrorMessage="1">
          <x14:formula1>
            <xm:f>'data sheet'!$B$2:$B$6</xm:f>
          </x14:formula1>
          <xm:sqref>C9:C21</xm:sqref>
        </x14:dataValidation>
        <x14:dataValidation type="list" allowBlank="1" showInputMessage="1" showErrorMessage="1">
          <x14:formula1>
            <xm:f>'data sheet'!$A$2:$A$14</xm:f>
          </x14:formula1>
          <xm:sqref>B9:B21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21"/>
  <sheetViews>
    <sheetView workbookViewId="0">
      <selection activeCell="A8" sqref="A8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5.85546875" bestFit="1" customWidth="1"/>
    <col min="4" max="4" width="4.85546875" bestFit="1" customWidth="1"/>
    <col min="5" max="5" width="7.7109375" bestFit="1" customWidth="1"/>
    <col min="6" max="6" width="7.140625" bestFit="1" customWidth="1"/>
    <col min="7" max="7" width="7.28515625" bestFit="1" customWidth="1"/>
    <col min="9" max="9" width="9" bestFit="1" customWidth="1"/>
    <col min="10" max="10" width="9.7109375" bestFit="1" customWidth="1"/>
    <col min="11" max="11" width="11.42578125" bestFit="1" customWidth="1"/>
    <col min="12" max="12" width="7" bestFit="1" customWidth="1"/>
    <col min="13" max="43" width="10.42578125" bestFit="1" customWidth="1"/>
    <col min="44" max="44" width="9.85546875" bestFit="1" customWidth="1"/>
    <col min="45" max="45" width="7.85546875" bestFit="1" customWidth="1"/>
    <col min="46" max="46" width="7.28515625" bestFit="1" customWidth="1"/>
    <col min="47" max="47" width="6.140625" bestFit="1" customWidth="1"/>
    <col min="48" max="48" width="7.42578125" bestFit="1" customWidth="1"/>
    <col min="49" max="49" width="8.140625" bestFit="1" customWidth="1"/>
    <col min="50" max="50" width="12.7109375" bestFit="1" customWidth="1"/>
    <col min="51" max="51" width="11.140625" bestFit="1" customWidth="1"/>
    <col min="52" max="52" width="19.7109375" bestFit="1" customWidth="1"/>
    <col min="53" max="53" width="21.85546875" bestFit="1" customWidth="1"/>
    <col min="54" max="54" width="22" bestFit="1" customWidth="1"/>
    <col min="55" max="55" width="27.5703125" bestFit="1" customWidth="1"/>
    <col min="56" max="56" width="8.7109375" bestFit="1" customWidth="1"/>
    <col min="57" max="57" width="4.5703125" bestFit="1" customWidth="1"/>
    <col min="58" max="58" width="4.7109375" bestFit="1" customWidth="1"/>
    <col min="59" max="59" width="22.42578125" bestFit="1" customWidth="1"/>
    <col min="60" max="60" width="11.7109375" bestFit="1" customWidth="1"/>
    <col min="61" max="61" width="8.5703125" bestFit="1" customWidth="1"/>
    <col min="62" max="62" width="14.28515625" bestFit="1" customWidth="1"/>
    <col min="63" max="64" width="10" bestFit="1" customWidth="1"/>
    <col min="65" max="65" width="15.85546875" bestFit="1" customWidth="1"/>
    <col min="66" max="66" width="6.42578125" bestFit="1" customWidth="1"/>
  </cols>
  <sheetData>
    <row r="1" spans="1:66" ht="30" customHeight="1" x14ac:dyDescent="0.25">
      <c r="A1" s="49" t="str">
        <f>"Attendance for"&amp;" "&amp;TEXT(P4,"mmmm yyyy")&amp;" "&amp;"Month"</f>
        <v>Attendance for June 2025 Month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BB1" s="15"/>
      <c r="BC1" s="42">
        <f>$AY$9/30</f>
        <v>0</v>
      </c>
      <c r="BD1" s="39">
        <f>BC1*30</f>
        <v>0</v>
      </c>
      <c r="BE1" s="39"/>
      <c r="BF1" s="39"/>
    </row>
    <row r="2" spans="1:66" ht="30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X2" s="23" t="s">
        <v>87</v>
      </c>
      <c r="AY2" s="24" t="s">
        <v>40</v>
      </c>
      <c r="AZ2" s="36" t="s">
        <v>70</v>
      </c>
      <c r="BA2" s="36" t="s">
        <v>71</v>
      </c>
      <c r="BB2" s="31" t="s">
        <v>67</v>
      </c>
      <c r="BC2" s="35" t="s">
        <v>68</v>
      </c>
      <c r="BD2" s="32" t="s">
        <v>89</v>
      </c>
      <c r="BE2" s="39"/>
      <c r="BF2" s="39">
        <f>AX9*BC1</f>
        <v>0</v>
      </c>
    </row>
    <row r="3" spans="1:66" x14ac:dyDescent="0.25">
      <c r="AX3" s="37">
        <f>$BC$1*$AV$9</f>
        <v>0</v>
      </c>
      <c r="AY3" s="37">
        <f>$BC$1*$AW$9/2</f>
        <v>0</v>
      </c>
      <c r="AZ3" s="37">
        <f>$BC$1*$AU$9/2</f>
        <v>0</v>
      </c>
      <c r="BA3" s="37">
        <f>$BC$1/8*$BJ$9</f>
        <v>0</v>
      </c>
      <c r="BB3" s="37">
        <f>$BC$1*$AT$9</f>
        <v>0</v>
      </c>
      <c r="BC3" s="15">
        <f>$BC$1*$AS$9</f>
        <v>0</v>
      </c>
      <c r="BD3" s="40">
        <f>(AX3)+(AY3)+(AZ3)+(BC3)</f>
        <v>0</v>
      </c>
      <c r="BE3" s="39"/>
      <c r="BF3" s="39"/>
    </row>
    <row r="4" spans="1:66" x14ac:dyDescent="0.25">
      <c r="L4" s="34" t="s">
        <v>14</v>
      </c>
      <c r="M4" s="34" t="s">
        <v>15</v>
      </c>
      <c r="O4" s="34" t="s">
        <v>0</v>
      </c>
      <c r="P4" s="3">
        <f>DATEVALUE("1"&amp;L5&amp;M5)</f>
        <v>45809</v>
      </c>
      <c r="AX4" s="15"/>
      <c r="AY4" s="15"/>
      <c r="AZ4" s="15"/>
      <c r="BA4" s="15"/>
      <c r="BB4" s="15"/>
      <c r="BC4" s="15"/>
      <c r="BD4" s="32"/>
      <c r="BE4" s="39"/>
      <c r="BF4" s="39"/>
    </row>
    <row r="5" spans="1:66" x14ac:dyDescent="0.25">
      <c r="L5" s="2" t="s">
        <v>7</v>
      </c>
      <c r="M5" s="2">
        <v>2025</v>
      </c>
      <c r="O5" s="34" t="s">
        <v>1</v>
      </c>
      <c r="P5" s="3">
        <f>EOMONTH(P4,0)</f>
        <v>45838</v>
      </c>
      <c r="AX5" s="10"/>
      <c r="AY5" s="10"/>
      <c r="AZ5" s="10"/>
      <c r="BA5" s="10"/>
      <c r="BB5" s="10"/>
      <c r="BC5" s="38"/>
      <c r="BD5" s="10"/>
      <c r="BI5" s="11"/>
      <c r="BJ5" s="11"/>
      <c r="BL5" s="11"/>
    </row>
    <row r="6" spans="1:66" x14ac:dyDescent="0.25">
      <c r="A6" s="32" t="s">
        <v>86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2"/>
      <c r="P6" s="13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X6" s="10"/>
      <c r="AZ6" s="48" t="s">
        <v>44</v>
      </c>
      <c r="BA6" s="48"/>
      <c r="BB6" s="48"/>
      <c r="BE6" s="51" t="s">
        <v>45</v>
      </c>
      <c r="BF6" s="51"/>
      <c r="BG6" s="52"/>
    </row>
    <row r="7" spans="1:6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8" t="str">
        <f t="shared" ref="M7:AQ7" si="0">TEXT(M8,"Ddd")</f>
        <v>Sun</v>
      </c>
      <c r="N7" s="8" t="str">
        <f t="shared" si="0"/>
        <v>Mon</v>
      </c>
      <c r="O7" s="8" t="str">
        <f t="shared" si="0"/>
        <v>Tue</v>
      </c>
      <c r="P7" s="8" t="str">
        <f t="shared" si="0"/>
        <v>Wed</v>
      </c>
      <c r="Q7" s="8" t="str">
        <f t="shared" si="0"/>
        <v>Thu</v>
      </c>
      <c r="R7" s="8" t="str">
        <f t="shared" si="0"/>
        <v>Fri</v>
      </c>
      <c r="S7" s="8" t="str">
        <f t="shared" si="0"/>
        <v>Sat</v>
      </c>
      <c r="T7" s="8" t="str">
        <f t="shared" si="0"/>
        <v>Sun</v>
      </c>
      <c r="U7" s="8" t="str">
        <f t="shared" si="0"/>
        <v>Mon</v>
      </c>
      <c r="V7" s="8" t="str">
        <f t="shared" si="0"/>
        <v>Tue</v>
      </c>
      <c r="W7" s="8" t="str">
        <f t="shared" si="0"/>
        <v>Wed</v>
      </c>
      <c r="X7" s="8" t="str">
        <f t="shared" si="0"/>
        <v>Thu</v>
      </c>
      <c r="Y7" s="8" t="str">
        <f t="shared" si="0"/>
        <v>Fri</v>
      </c>
      <c r="Z7" s="8" t="str">
        <f t="shared" si="0"/>
        <v>Sat</v>
      </c>
      <c r="AA7" s="8" t="str">
        <f t="shared" si="0"/>
        <v>Sun</v>
      </c>
      <c r="AB7" s="8" t="str">
        <f t="shared" si="0"/>
        <v>Mon</v>
      </c>
      <c r="AC7" s="8" t="str">
        <f t="shared" si="0"/>
        <v>Tue</v>
      </c>
      <c r="AD7" s="8" t="str">
        <f t="shared" si="0"/>
        <v>Wed</v>
      </c>
      <c r="AE7" s="8" t="str">
        <f t="shared" si="0"/>
        <v>Thu</v>
      </c>
      <c r="AF7" s="8" t="str">
        <f t="shared" si="0"/>
        <v>Fri</v>
      </c>
      <c r="AG7" s="8" t="str">
        <f t="shared" si="0"/>
        <v>Sat</v>
      </c>
      <c r="AH7" s="8" t="str">
        <f t="shared" si="0"/>
        <v>Sun</v>
      </c>
      <c r="AI7" s="8" t="str">
        <f t="shared" si="0"/>
        <v>Mon</v>
      </c>
      <c r="AJ7" s="8" t="str">
        <f t="shared" si="0"/>
        <v>Tue</v>
      </c>
      <c r="AK7" s="8" t="str">
        <f t="shared" si="0"/>
        <v>Wed</v>
      </c>
      <c r="AL7" s="8" t="str">
        <f t="shared" si="0"/>
        <v>Thu</v>
      </c>
      <c r="AM7" s="8" t="str">
        <f t="shared" si="0"/>
        <v>Fri</v>
      </c>
      <c r="AN7" s="8" t="str">
        <f t="shared" si="0"/>
        <v>Sat</v>
      </c>
      <c r="AO7" s="8" t="str">
        <f t="shared" si="0"/>
        <v>Sun</v>
      </c>
      <c r="AP7" s="8" t="str">
        <f t="shared" si="0"/>
        <v>Mon</v>
      </c>
      <c r="AQ7" s="8" t="str">
        <f t="shared" si="0"/>
        <v xml:space="preserve"> </v>
      </c>
      <c r="AX7" s="10"/>
      <c r="AY7" s="10"/>
      <c r="AZ7" s="28">
        <v>0.03</v>
      </c>
      <c r="BA7" s="28">
        <v>0.05</v>
      </c>
      <c r="BB7" s="28">
        <v>7.0000000000000007E-2</v>
      </c>
      <c r="BC7" s="10"/>
      <c r="BE7" s="29">
        <v>0.12</v>
      </c>
      <c r="BF7" s="29">
        <v>0.02</v>
      </c>
      <c r="BH7" s="10"/>
      <c r="BM7" s="10"/>
      <c r="BN7" s="10"/>
    </row>
    <row r="8" spans="1:66" x14ac:dyDescent="0.25">
      <c r="A8" s="14" t="s">
        <v>16</v>
      </c>
      <c r="B8" s="14" t="s">
        <v>17</v>
      </c>
      <c r="C8" s="14" t="s">
        <v>58</v>
      </c>
      <c r="D8" s="14" t="s">
        <v>59</v>
      </c>
      <c r="E8" s="14" t="s">
        <v>60</v>
      </c>
      <c r="F8" s="14" t="s">
        <v>61</v>
      </c>
      <c r="G8" s="14" t="s">
        <v>18</v>
      </c>
      <c r="H8" s="14" t="s">
        <v>41</v>
      </c>
      <c r="I8" s="14" t="s">
        <v>64</v>
      </c>
      <c r="J8" s="14" t="s">
        <v>63</v>
      </c>
      <c r="K8" s="14" t="s">
        <v>65</v>
      </c>
      <c r="L8" s="14" t="s">
        <v>20</v>
      </c>
      <c r="M8" s="46">
        <f>P4</f>
        <v>45809</v>
      </c>
      <c r="N8" s="46">
        <f t="shared" ref="N8:AM8" si="1">M8+1</f>
        <v>45810</v>
      </c>
      <c r="O8" s="46">
        <f t="shared" si="1"/>
        <v>45811</v>
      </c>
      <c r="P8" s="46">
        <f t="shared" si="1"/>
        <v>45812</v>
      </c>
      <c r="Q8" s="46">
        <f t="shared" si="1"/>
        <v>45813</v>
      </c>
      <c r="R8" s="46">
        <f t="shared" si="1"/>
        <v>45814</v>
      </c>
      <c r="S8" s="46">
        <f t="shared" si="1"/>
        <v>45815</v>
      </c>
      <c r="T8" s="46">
        <f t="shared" si="1"/>
        <v>45816</v>
      </c>
      <c r="U8" s="46">
        <f t="shared" si="1"/>
        <v>45817</v>
      </c>
      <c r="V8" s="46">
        <f t="shared" si="1"/>
        <v>45818</v>
      </c>
      <c r="W8" s="46">
        <f t="shared" si="1"/>
        <v>45819</v>
      </c>
      <c r="X8" s="46">
        <f t="shared" si="1"/>
        <v>45820</v>
      </c>
      <c r="Y8" s="46">
        <f t="shared" si="1"/>
        <v>45821</v>
      </c>
      <c r="Z8" s="46">
        <f t="shared" si="1"/>
        <v>45822</v>
      </c>
      <c r="AA8" s="46">
        <f t="shared" si="1"/>
        <v>45823</v>
      </c>
      <c r="AB8" s="46">
        <f t="shared" si="1"/>
        <v>45824</v>
      </c>
      <c r="AC8" s="46">
        <f t="shared" si="1"/>
        <v>45825</v>
      </c>
      <c r="AD8" s="46">
        <f t="shared" si="1"/>
        <v>45826</v>
      </c>
      <c r="AE8" s="46">
        <f t="shared" si="1"/>
        <v>45827</v>
      </c>
      <c r="AF8" s="46">
        <f t="shared" si="1"/>
        <v>45828</v>
      </c>
      <c r="AG8" s="46">
        <f t="shared" si="1"/>
        <v>45829</v>
      </c>
      <c r="AH8" s="46">
        <f t="shared" si="1"/>
        <v>45830</v>
      </c>
      <c r="AI8" s="46">
        <f t="shared" si="1"/>
        <v>45831</v>
      </c>
      <c r="AJ8" s="46">
        <f t="shared" si="1"/>
        <v>45832</v>
      </c>
      <c r="AK8" s="46">
        <f t="shared" si="1"/>
        <v>45833</v>
      </c>
      <c r="AL8" s="46">
        <f t="shared" si="1"/>
        <v>45834</v>
      </c>
      <c r="AM8" s="46">
        <f t="shared" si="1"/>
        <v>45835</v>
      </c>
      <c r="AN8" s="46">
        <f>IF(AM8&lt;$P$5,AM8+1," ")</f>
        <v>45836</v>
      </c>
      <c r="AO8" s="46">
        <f>IF(AN8&lt;$P$5,AN8+1," ")</f>
        <v>45837</v>
      </c>
      <c r="AP8" s="46">
        <f>IF(AO8&lt;$P$5,AO8+1," ")</f>
        <v>45838</v>
      </c>
      <c r="AQ8" s="46" t="str">
        <f>IF(AP8&lt;$P$5,AP8+1," ")</f>
        <v xml:space="preserve"> </v>
      </c>
      <c r="AR8" s="21" t="s">
        <v>42</v>
      </c>
      <c r="AS8" s="18" t="s">
        <v>25</v>
      </c>
      <c r="AT8" s="22" t="s">
        <v>38</v>
      </c>
      <c r="AU8" s="23" t="s">
        <v>39</v>
      </c>
      <c r="AV8" s="23" t="s">
        <v>87</v>
      </c>
      <c r="AW8" s="24" t="s">
        <v>40</v>
      </c>
      <c r="AX8" s="25" t="s">
        <v>43</v>
      </c>
      <c r="AY8" s="4" t="s">
        <v>46</v>
      </c>
      <c r="AZ8" s="4" t="s">
        <v>49</v>
      </c>
      <c r="BA8" s="26" t="s">
        <v>50</v>
      </c>
      <c r="BB8" s="8" t="s">
        <v>51</v>
      </c>
      <c r="BC8" s="27" t="s">
        <v>52</v>
      </c>
      <c r="BD8" s="20" t="s">
        <v>53</v>
      </c>
      <c r="BE8" s="7" t="s">
        <v>54</v>
      </c>
      <c r="BF8" s="9" t="s">
        <v>69</v>
      </c>
      <c r="BG8" s="45" t="s">
        <v>95</v>
      </c>
      <c r="BH8" s="27" t="s">
        <v>55</v>
      </c>
      <c r="BI8" s="7" t="s">
        <v>48</v>
      </c>
      <c r="BJ8" s="5" t="s">
        <v>62</v>
      </c>
      <c r="BK8" s="6" t="s">
        <v>47</v>
      </c>
      <c r="BL8" s="19" t="s">
        <v>56</v>
      </c>
      <c r="BM8" s="20" t="s">
        <v>57</v>
      </c>
      <c r="BN8" s="44" t="s">
        <v>91</v>
      </c>
    </row>
    <row r="9" spans="1:66" x14ac:dyDescent="0.25">
      <c r="A9" s="30" t="str">
        <f>$A$6&amp;IF(B9="","",COUNTA($B$9:B9)+100)</f>
        <v>SK-</v>
      </c>
      <c r="B9" s="15"/>
      <c r="C9" s="15"/>
      <c r="D9" s="15"/>
      <c r="E9" s="15"/>
      <c r="F9" s="15"/>
      <c r="G9" s="16"/>
      <c r="H9" s="16"/>
      <c r="I9" s="17"/>
      <c r="J9" s="17"/>
      <c r="K9" s="12" t="str">
        <f>IF($J9=""," ","Emp. Resign this Company")</f>
        <v xml:space="preserve"> </v>
      </c>
      <c r="L9" s="1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5">
        <f>COUNTA(M9:AQ9)</f>
        <v>0</v>
      </c>
      <c r="AS9" s="15">
        <f>COUNTIF(M9:AQ9,"P")</f>
        <v>0</v>
      </c>
      <c r="AT9" s="15">
        <f>COUNTIF(M9:AQ9,"A")</f>
        <v>0</v>
      </c>
      <c r="AU9" s="15">
        <f>COUNTIF(M9:AQ9,"L")</f>
        <v>0</v>
      </c>
      <c r="AV9" s="15">
        <f>COUNTIF(M9:AQ9,"SUN")</f>
        <v>0</v>
      </c>
      <c r="AW9" s="15">
        <f>COUNTIF(M9:AQ9,"H")</f>
        <v>0</v>
      </c>
      <c r="AX9" s="15">
        <f>($AR9-$AT9)-($AW9/2)-($AU9/2)</f>
        <v>0</v>
      </c>
      <c r="AY9" s="15"/>
      <c r="AZ9" s="15">
        <f>$AY9*$AZ$7</f>
        <v>0</v>
      </c>
      <c r="BA9" s="15">
        <f>$AY9*$BA$7</f>
        <v>0</v>
      </c>
      <c r="BB9" s="15">
        <f>$AY9*$BB$7</f>
        <v>0</v>
      </c>
      <c r="BC9" s="15">
        <f>$AZ9+$BA9+$BB9</f>
        <v>0</v>
      </c>
      <c r="BD9" s="37">
        <f>($AY9+$BC9)</f>
        <v>0</v>
      </c>
      <c r="BE9" s="15">
        <f>$AY9*$BE$7</f>
        <v>0</v>
      </c>
      <c r="BF9" s="15">
        <f>$AY9*$BF$7</f>
        <v>0</v>
      </c>
      <c r="BG9" s="41">
        <f>$BC$1*$AT9</f>
        <v>0</v>
      </c>
      <c r="BH9" s="37">
        <f>$BE9+$BF9+$BG9</f>
        <v>0</v>
      </c>
      <c r="BI9" s="1"/>
      <c r="BJ9" s="15"/>
      <c r="BK9" s="15">
        <f>IF($BA$4="",$AY9/30/8*$BJ9,$BA4*$BJ9)</f>
        <v>0</v>
      </c>
      <c r="BL9" s="37">
        <f>($BD9-$BH9)-$BI9</f>
        <v>0</v>
      </c>
      <c r="BM9" s="17"/>
      <c r="BN9" s="15"/>
    </row>
    <row r="10" spans="1:66" x14ac:dyDescent="0.25">
      <c r="A10" s="30" t="str">
        <f>$A$6&amp;IF(B10="","",COUNTA($B$9:B10)+100)</f>
        <v>SK-</v>
      </c>
      <c r="B10" s="15"/>
      <c r="C10" s="15"/>
      <c r="D10" s="15"/>
      <c r="E10" s="15"/>
      <c r="F10" s="15"/>
      <c r="G10" s="16"/>
      <c r="H10" s="16"/>
      <c r="I10" s="17"/>
      <c r="J10" s="17"/>
      <c r="K10" s="12" t="str">
        <f t="shared" ref="K10:K21" si="2">IF($J10=""," ","Emp. Resign this Company")</f>
        <v xml:space="preserve"> </v>
      </c>
      <c r="L10" s="1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5">
        <f t="shared" ref="AR10:AR21" si="3">COUNTA(M10:AQ10)</f>
        <v>0</v>
      </c>
      <c r="AS10" s="15">
        <f t="shared" ref="AS10:AS21" si="4">COUNTIF(M10:AQ10,"P")</f>
        <v>0</v>
      </c>
      <c r="AT10" s="15">
        <f t="shared" ref="AT10:AT21" si="5">COUNTIF(M10:AQ10,"A")</f>
        <v>0</v>
      </c>
      <c r="AU10" s="15">
        <f t="shared" ref="AU10:AU21" si="6">COUNTIF(M10:AQ10,"L")</f>
        <v>0</v>
      </c>
      <c r="AV10" s="15">
        <f t="shared" ref="AV10:AV21" si="7">COUNTIF(M10:AQ10,"SUN")</f>
        <v>0</v>
      </c>
      <c r="AW10" s="15">
        <f t="shared" ref="AW10:AW21" si="8">COUNTIF(M10:AQ10,"H")</f>
        <v>0</v>
      </c>
      <c r="AX10" s="15">
        <f t="shared" ref="AX10:AX21" si="9">($AR10-$AT10)-($AW10/2)-($AU10/2)</f>
        <v>0</v>
      </c>
      <c r="AY10" s="15"/>
      <c r="AZ10" s="15">
        <f t="shared" ref="AZ10:AZ21" si="10">$AY10*$AZ$7</f>
        <v>0</v>
      </c>
      <c r="BA10" s="15">
        <f t="shared" ref="BA10:BA21" si="11">$AY10*$BA$7</f>
        <v>0</v>
      </c>
      <c r="BB10" s="15">
        <f t="shared" ref="BB10:BB21" si="12">$AY10*$BB$7</f>
        <v>0</v>
      </c>
      <c r="BC10" s="15">
        <f t="shared" ref="BC10:BC21" si="13">$AZ10+$BA10+$BB10</f>
        <v>0</v>
      </c>
      <c r="BD10" s="37">
        <f t="shared" ref="BD10:BD21" si="14">($AY10+$BC10)</f>
        <v>0</v>
      </c>
      <c r="BE10" s="15">
        <f t="shared" ref="BE10:BE21" si="15">$AY10*$BE$7</f>
        <v>0</v>
      </c>
      <c r="BF10" s="15">
        <f t="shared" ref="BF10:BF21" si="16">$AY10*$BF$7</f>
        <v>0</v>
      </c>
      <c r="BG10" s="41">
        <f t="shared" ref="BG10:BG21" si="17">$BC$1*$AT10</f>
        <v>0</v>
      </c>
      <c r="BH10" s="37">
        <f t="shared" ref="BH10:BH21" si="18">$BE10+$BF10+$BG10</f>
        <v>0</v>
      </c>
      <c r="BI10" s="1"/>
      <c r="BJ10" s="15"/>
      <c r="BK10" s="15">
        <f t="shared" ref="BK10:BK21" si="19">IF($BA$4="",$AY10/30/8*$BJ10,$BA5*$BJ10)</f>
        <v>0</v>
      </c>
      <c r="BL10" s="37">
        <f t="shared" ref="BL10:BL21" si="20">($BD10-$BH10)-$BI10</f>
        <v>0</v>
      </c>
      <c r="BM10" s="15"/>
      <c r="BN10" s="15"/>
    </row>
    <row r="11" spans="1:66" x14ac:dyDescent="0.25">
      <c r="A11" s="30" t="str">
        <f>$A$6&amp;IF(B11="","",COUNTA($B$9:B11)+100)</f>
        <v>SK-</v>
      </c>
      <c r="B11" s="15"/>
      <c r="C11" s="15"/>
      <c r="D11" s="15"/>
      <c r="E11" s="15"/>
      <c r="F11" s="15"/>
      <c r="G11" s="16"/>
      <c r="H11" s="16"/>
      <c r="I11" s="17"/>
      <c r="J11" s="15"/>
      <c r="K11" s="12" t="str">
        <f t="shared" si="2"/>
        <v xml:space="preserve"> </v>
      </c>
      <c r="L11" s="1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5">
        <f t="shared" si="3"/>
        <v>0</v>
      </c>
      <c r="AS11" s="15">
        <f t="shared" si="4"/>
        <v>0</v>
      </c>
      <c r="AT11" s="15">
        <f t="shared" si="5"/>
        <v>0</v>
      </c>
      <c r="AU11" s="15">
        <f t="shared" si="6"/>
        <v>0</v>
      </c>
      <c r="AV11" s="15">
        <f t="shared" si="7"/>
        <v>0</v>
      </c>
      <c r="AW11" s="15">
        <f t="shared" si="8"/>
        <v>0</v>
      </c>
      <c r="AX11" s="15">
        <f t="shared" si="9"/>
        <v>0</v>
      </c>
      <c r="AY11" s="15"/>
      <c r="AZ11" s="15">
        <f t="shared" si="10"/>
        <v>0</v>
      </c>
      <c r="BA11" s="15">
        <f t="shared" si="11"/>
        <v>0</v>
      </c>
      <c r="BB11" s="15">
        <f t="shared" si="12"/>
        <v>0</v>
      </c>
      <c r="BC11" s="15">
        <f t="shared" si="13"/>
        <v>0</v>
      </c>
      <c r="BD11" s="37">
        <f t="shared" si="14"/>
        <v>0</v>
      </c>
      <c r="BE11" s="15">
        <f t="shared" si="15"/>
        <v>0</v>
      </c>
      <c r="BF11" s="15">
        <f t="shared" si="16"/>
        <v>0</v>
      </c>
      <c r="BG11" s="41">
        <f t="shared" si="17"/>
        <v>0</v>
      </c>
      <c r="BH11" s="37">
        <f t="shared" si="18"/>
        <v>0</v>
      </c>
      <c r="BI11" s="1"/>
      <c r="BJ11" s="15"/>
      <c r="BK11" s="15">
        <f t="shared" si="19"/>
        <v>0</v>
      </c>
      <c r="BL11" s="37">
        <f t="shared" si="20"/>
        <v>0</v>
      </c>
      <c r="BM11" s="15"/>
      <c r="BN11" s="15"/>
    </row>
    <row r="12" spans="1:66" x14ac:dyDescent="0.25">
      <c r="A12" s="30" t="str">
        <f>$A$6&amp;IF(B12="","",COUNTA($B$9:B12)+100)</f>
        <v>SK-</v>
      </c>
      <c r="B12" s="15"/>
      <c r="C12" s="15"/>
      <c r="D12" s="15"/>
      <c r="E12" s="15"/>
      <c r="F12" s="15"/>
      <c r="G12" s="16"/>
      <c r="H12" s="16"/>
      <c r="I12" s="17"/>
      <c r="J12" s="15"/>
      <c r="K12" s="12" t="str">
        <f t="shared" si="2"/>
        <v xml:space="preserve"> </v>
      </c>
      <c r="L12" s="1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5">
        <f t="shared" si="3"/>
        <v>0</v>
      </c>
      <c r="AS12" s="15">
        <f t="shared" si="4"/>
        <v>0</v>
      </c>
      <c r="AT12" s="15">
        <f t="shared" si="5"/>
        <v>0</v>
      </c>
      <c r="AU12" s="15">
        <f t="shared" si="6"/>
        <v>0</v>
      </c>
      <c r="AV12" s="15">
        <f t="shared" si="7"/>
        <v>0</v>
      </c>
      <c r="AW12" s="15">
        <f>COUNTIF(M12:AQ12,"H")</f>
        <v>0</v>
      </c>
      <c r="AX12" s="15">
        <f t="shared" si="9"/>
        <v>0</v>
      </c>
      <c r="AY12" s="15"/>
      <c r="AZ12" s="15">
        <f t="shared" si="10"/>
        <v>0</v>
      </c>
      <c r="BA12" s="15">
        <f t="shared" si="11"/>
        <v>0</v>
      </c>
      <c r="BB12" s="15">
        <f t="shared" si="12"/>
        <v>0</v>
      </c>
      <c r="BC12" s="15">
        <f t="shared" si="13"/>
        <v>0</v>
      </c>
      <c r="BD12" s="37">
        <f t="shared" si="14"/>
        <v>0</v>
      </c>
      <c r="BE12" s="15">
        <f t="shared" si="15"/>
        <v>0</v>
      </c>
      <c r="BF12" s="15">
        <f t="shared" si="16"/>
        <v>0</v>
      </c>
      <c r="BG12" s="41">
        <f t="shared" si="17"/>
        <v>0</v>
      </c>
      <c r="BH12" s="37">
        <f t="shared" si="18"/>
        <v>0</v>
      </c>
      <c r="BI12" s="1"/>
      <c r="BJ12" s="15"/>
      <c r="BK12" s="15">
        <f t="shared" si="19"/>
        <v>0</v>
      </c>
      <c r="BL12" s="37">
        <f t="shared" si="20"/>
        <v>0</v>
      </c>
      <c r="BM12" s="15"/>
      <c r="BN12" s="15"/>
    </row>
    <row r="13" spans="1:66" x14ac:dyDescent="0.25">
      <c r="A13" s="30" t="str">
        <f>$A$6&amp;IF(B13="","",COUNTA($B$9:B13)+100)</f>
        <v>SK-</v>
      </c>
      <c r="B13" s="15"/>
      <c r="C13" s="15"/>
      <c r="D13" s="15"/>
      <c r="E13" s="15"/>
      <c r="F13" s="15"/>
      <c r="G13" s="16"/>
      <c r="H13" s="16"/>
      <c r="I13" s="17"/>
      <c r="J13" s="17"/>
      <c r="K13" s="12" t="str">
        <f t="shared" si="2"/>
        <v xml:space="preserve"> </v>
      </c>
      <c r="L13" s="1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5">
        <f t="shared" si="3"/>
        <v>0</v>
      </c>
      <c r="AS13" s="15">
        <f t="shared" si="4"/>
        <v>0</v>
      </c>
      <c r="AT13" s="15">
        <f t="shared" si="5"/>
        <v>0</v>
      </c>
      <c r="AU13" s="15">
        <f t="shared" si="6"/>
        <v>0</v>
      </c>
      <c r="AV13" s="15">
        <f t="shared" si="7"/>
        <v>0</v>
      </c>
      <c r="AW13" s="15">
        <f t="shared" si="8"/>
        <v>0</v>
      </c>
      <c r="AX13" s="15">
        <f t="shared" si="9"/>
        <v>0</v>
      </c>
      <c r="AY13" s="15"/>
      <c r="AZ13" s="15">
        <f t="shared" si="10"/>
        <v>0</v>
      </c>
      <c r="BA13" s="15">
        <f t="shared" si="11"/>
        <v>0</v>
      </c>
      <c r="BB13" s="15">
        <f t="shared" si="12"/>
        <v>0</v>
      </c>
      <c r="BC13" s="15">
        <f t="shared" si="13"/>
        <v>0</v>
      </c>
      <c r="BD13" s="37">
        <f t="shared" si="14"/>
        <v>0</v>
      </c>
      <c r="BE13" s="15">
        <f t="shared" si="15"/>
        <v>0</v>
      </c>
      <c r="BF13" s="15">
        <f t="shared" si="16"/>
        <v>0</v>
      </c>
      <c r="BG13" s="41">
        <f t="shared" si="17"/>
        <v>0</v>
      </c>
      <c r="BH13" s="37">
        <f t="shared" si="18"/>
        <v>0</v>
      </c>
      <c r="BI13" s="1"/>
      <c r="BJ13" s="15"/>
      <c r="BK13" s="15">
        <f t="shared" si="19"/>
        <v>0</v>
      </c>
      <c r="BL13" s="37">
        <f t="shared" si="20"/>
        <v>0</v>
      </c>
      <c r="BM13" s="15"/>
      <c r="BN13" s="15"/>
    </row>
    <row r="14" spans="1:66" x14ac:dyDescent="0.25">
      <c r="A14" s="30" t="str">
        <f>$A$6&amp;IF(B14="","",COUNTA($B$9:B14)+100)</f>
        <v>SK-</v>
      </c>
      <c r="B14" s="15"/>
      <c r="C14" s="15"/>
      <c r="D14" s="15"/>
      <c r="E14" s="15"/>
      <c r="F14" s="15"/>
      <c r="G14" s="16"/>
      <c r="H14" s="16"/>
      <c r="I14" s="17"/>
      <c r="J14" s="15"/>
      <c r="K14" s="12" t="str">
        <f t="shared" si="2"/>
        <v xml:space="preserve"> </v>
      </c>
      <c r="L14" s="1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5">
        <f t="shared" si="3"/>
        <v>0</v>
      </c>
      <c r="AS14" s="15">
        <f t="shared" si="4"/>
        <v>0</v>
      </c>
      <c r="AT14" s="15">
        <f t="shared" si="5"/>
        <v>0</v>
      </c>
      <c r="AU14" s="15">
        <f t="shared" si="6"/>
        <v>0</v>
      </c>
      <c r="AV14" s="15">
        <f t="shared" si="7"/>
        <v>0</v>
      </c>
      <c r="AW14" s="15">
        <f t="shared" si="8"/>
        <v>0</v>
      </c>
      <c r="AX14" s="15">
        <f t="shared" si="9"/>
        <v>0</v>
      </c>
      <c r="AY14" s="15"/>
      <c r="AZ14" s="15">
        <f t="shared" si="10"/>
        <v>0</v>
      </c>
      <c r="BA14" s="15">
        <f t="shared" si="11"/>
        <v>0</v>
      </c>
      <c r="BB14" s="15">
        <f t="shared" si="12"/>
        <v>0</v>
      </c>
      <c r="BC14" s="15">
        <f t="shared" si="13"/>
        <v>0</v>
      </c>
      <c r="BD14" s="37">
        <f t="shared" si="14"/>
        <v>0</v>
      </c>
      <c r="BE14" s="15">
        <f t="shared" si="15"/>
        <v>0</v>
      </c>
      <c r="BF14" s="15">
        <f t="shared" si="16"/>
        <v>0</v>
      </c>
      <c r="BG14" s="41">
        <f t="shared" si="17"/>
        <v>0</v>
      </c>
      <c r="BH14" s="37">
        <f t="shared" si="18"/>
        <v>0</v>
      </c>
      <c r="BI14" s="1"/>
      <c r="BJ14" s="15"/>
      <c r="BK14" s="15">
        <f t="shared" si="19"/>
        <v>0</v>
      </c>
      <c r="BL14" s="37">
        <f t="shared" si="20"/>
        <v>0</v>
      </c>
      <c r="BM14" s="15"/>
      <c r="BN14" s="15"/>
    </row>
    <row r="15" spans="1:66" x14ac:dyDescent="0.25">
      <c r="A15" s="30" t="str">
        <f>$A$6&amp;IF(B15="","",COUNTA($B$9:B15)+100)</f>
        <v>SK-</v>
      </c>
      <c r="B15" s="15"/>
      <c r="C15" s="15"/>
      <c r="D15" s="15"/>
      <c r="E15" s="15"/>
      <c r="F15" s="15"/>
      <c r="G15" s="16"/>
      <c r="H15" s="16"/>
      <c r="I15" s="17"/>
      <c r="J15" s="15"/>
      <c r="K15" s="12" t="str">
        <f t="shared" si="2"/>
        <v xml:space="preserve"> </v>
      </c>
      <c r="L15" s="1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5">
        <f t="shared" si="3"/>
        <v>0</v>
      </c>
      <c r="AS15" s="15">
        <f t="shared" si="4"/>
        <v>0</v>
      </c>
      <c r="AT15" s="15">
        <f t="shared" si="5"/>
        <v>0</v>
      </c>
      <c r="AU15" s="15">
        <f t="shared" si="6"/>
        <v>0</v>
      </c>
      <c r="AV15" s="15">
        <f t="shared" si="7"/>
        <v>0</v>
      </c>
      <c r="AW15" s="15">
        <f t="shared" si="8"/>
        <v>0</v>
      </c>
      <c r="AX15" s="15">
        <f t="shared" si="9"/>
        <v>0</v>
      </c>
      <c r="AY15" s="15"/>
      <c r="AZ15" s="15">
        <f t="shared" si="10"/>
        <v>0</v>
      </c>
      <c r="BA15" s="15">
        <f t="shared" si="11"/>
        <v>0</v>
      </c>
      <c r="BB15" s="15">
        <f t="shared" si="12"/>
        <v>0</v>
      </c>
      <c r="BC15" s="15">
        <f t="shared" si="13"/>
        <v>0</v>
      </c>
      <c r="BD15" s="37">
        <f t="shared" si="14"/>
        <v>0</v>
      </c>
      <c r="BE15" s="15">
        <f t="shared" si="15"/>
        <v>0</v>
      </c>
      <c r="BF15" s="15">
        <f t="shared" si="16"/>
        <v>0</v>
      </c>
      <c r="BG15" s="41">
        <f t="shared" si="17"/>
        <v>0</v>
      </c>
      <c r="BH15" s="37">
        <f t="shared" si="18"/>
        <v>0</v>
      </c>
      <c r="BI15" s="1"/>
      <c r="BJ15" s="15"/>
      <c r="BK15" s="15">
        <f t="shared" si="19"/>
        <v>0</v>
      </c>
      <c r="BL15" s="37">
        <f t="shared" si="20"/>
        <v>0</v>
      </c>
      <c r="BM15" s="15"/>
      <c r="BN15" s="15"/>
    </row>
    <row r="16" spans="1:66" x14ac:dyDescent="0.25">
      <c r="A16" s="30" t="str">
        <f>$A$6&amp;IF(B16="","",COUNTA($B$9:B16)+100)</f>
        <v>SK-</v>
      </c>
      <c r="B16" s="15"/>
      <c r="C16" s="15"/>
      <c r="D16" s="15"/>
      <c r="E16" s="15"/>
      <c r="F16" s="15"/>
      <c r="G16" s="16"/>
      <c r="H16" s="16"/>
      <c r="I16" s="17"/>
      <c r="J16" s="15"/>
      <c r="K16" s="12" t="str">
        <f t="shared" si="2"/>
        <v xml:space="preserve"> </v>
      </c>
      <c r="L16" s="1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5">
        <f t="shared" si="3"/>
        <v>0</v>
      </c>
      <c r="AS16" s="15">
        <f t="shared" si="4"/>
        <v>0</v>
      </c>
      <c r="AT16" s="15">
        <f t="shared" si="5"/>
        <v>0</v>
      </c>
      <c r="AU16" s="15">
        <f t="shared" si="6"/>
        <v>0</v>
      </c>
      <c r="AV16" s="15">
        <f t="shared" si="7"/>
        <v>0</v>
      </c>
      <c r="AW16" s="15">
        <f t="shared" si="8"/>
        <v>0</v>
      </c>
      <c r="AX16" s="15">
        <f t="shared" si="9"/>
        <v>0</v>
      </c>
      <c r="AY16" s="15"/>
      <c r="AZ16" s="15">
        <f t="shared" si="10"/>
        <v>0</v>
      </c>
      <c r="BA16" s="15">
        <f t="shared" si="11"/>
        <v>0</v>
      </c>
      <c r="BB16" s="15">
        <f t="shared" si="12"/>
        <v>0</v>
      </c>
      <c r="BC16" s="15">
        <f t="shared" si="13"/>
        <v>0</v>
      </c>
      <c r="BD16" s="37">
        <f t="shared" si="14"/>
        <v>0</v>
      </c>
      <c r="BE16" s="15">
        <f t="shared" si="15"/>
        <v>0</v>
      </c>
      <c r="BF16" s="15">
        <f t="shared" si="16"/>
        <v>0</v>
      </c>
      <c r="BG16" s="41">
        <f t="shared" si="17"/>
        <v>0</v>
      </c>
      <c r="BH16" s="37">
        <f t="shared" si="18"/>
        <v>0</v>
      </c>
      <c r="BI16" s="1"/>
      <c r="BJ16" s="15"/>
      <c r="BK16" s="15">
        <f t="shared" si="19"/>
        <v>0</v>
      </c>
      <c r="BL16" s="37">
        <f t="shared" si="20"/>
        <v>0</v>
      </c>
      <c r="BM16" s="15"/>
      <c r="BN16" s="15"/>
    </row>
    <row r="17" spans="1:66" x14ac:dyDescent="0.25">
      <c r="A17" s="30" t="str">
        <f>$A$6&amp;IF(B17="","",COUNTA($B$9:B17)+100)</f>
        <v>SK-</v>
      </c>
      <c r="B17" s="15"/>
      <c r="C17" s="15"/>
      <c r="D17" s="15"/>
      <c r="E17" s="15"/>
      <c r="F17" s="15"/>
      <c r="G17" s="16"/>
      <c r="H17" s="16"/>
      <c r="I17" s="17"/>
      <c r="J17" s="15"/>
      <c r="K17" s="12" t="str">
        <f t="shared" si="2"/>
        <v xml:space="preserve"> </v>
      </c>
      <c r="L17" s="1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5">
        <f t="shared" si="3"/>
        <v>0</v>
      </c>
      <c r="AS17" s="15">
        <f t="shared" si="4"/>
        <v>0</v>
      </c>
      <c r="AT17" s="15">
        <f t="shared" si="5"/>
        <v>0</v>
      </c>
      <c r="AU17" s="15">
        <f t="shared" si="6"/>
        <v>0</v>
      </c>
      <c r="AV17" s="15">
        <f t="shared" si="7"/>
        <v>0</v>
      </c>
      <c r="AW17" s="15">
        <f t="shared" si="8"/>
        <v>0</v>
      </c>
      <c r="AX17" s="15">
        <f t="shared" si="9"/>
        <v>0</v>
      </c>
      <c r="AY17" s="15"/>
      <c r="AZ17" s="15">
        <f t="shared" si="10"/>
        <v>0</v>
      </c>
      <c r="BA17" s="15">
        <f t="shared" si="11"/>
        <v>0</v>
      </c>
      <c r="BB17" s="15">
        <f t="shared" si="12"/>
        <v>0</v>
      </c>
      <c r="BC17" s="15">
        <f t="shared" si="13"/>
        <v>0</v>
      </c>
      <c r="BD17" s="37">
        <f t="shared" si="14"/>
        <v>0</v>
      </c>
      <c r="BE17" s="15">
        <f t="shared" si="15"/>
        <v>0</v>
      </c>
      <c r="BF17" s="15">
        <f t="shared" si="16"/>
        <v>0</v>
      </c>
      <c r="BG17" s="41">
        <f t="shared" si="17"/>
        <v>0</v>
      </c>
      <c r="BH17" s="37">
        <f t="shared" si="18"/>
        <v>0</v>
      </c>
      <c r="BI17" s="1"/>
      <c r="BJ17" s="15"/>
      <c r="BK17" s="15">
        <f t="shared" si="19"/>
        <v>0</v>
      </c>
      <c r="BL17" s="37">
        <f t="shared" si="20"/>
        <v>0</v>
      </c>
      <c r="BM17" s="15"/>
      <c r="BN17" s="15"/>
    </row>
    <row r="18" spans="1:66" x14ac:dyDescent="0.25">
      <c r="A18" s="30" t="str">
        <f>$A$6&amp;IF(B18="","",COUNTA($B$9:B18)+100)</f>
        <v>SK-</v>
      </c>
      <c r="B18" s="15"/>
      <c r="C18" s="15"/>
      <c r="D18" s="15"/>
      <c r="E18" s="15"/>
      <c r="F18" s="15"/>
      <c r="G18" s="16"/>
      <c r="H18" s="16"/>
      <c r="I18" s="17"/>
      <c r="J18" s="15"/>
      <c r="K18" s="12" t="str">
        <f t="shared" si="2"/>
        <v xml:space="preserve"> </v>
      </c>
      <c r="L18" s="1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5">
        <f t="shared" si="3"/>
        <v>0</v>
      </c>
      <c r="AS18" s="15">
        <f t="shared" si="4"/>
        <v>0</v>
      </c>
      <c r="AT18" s="15">
        <f t="shared" si="5"/>
        <v>0</v>
      </c>
      <c r="AU18" s="15">
        <f t="shared" si="6"/>
        <v>0</v>
      </c>
      <c r="AV18" s="15">
        <f t="shared" si="7"/>
        <v>0</v>
      </c>
      <c r="AW18" s="15">
        <f t="shared" si="8"/>
        <v>0</v>
      </c>
      <c r="AX18" s="15">
        <f t="shared" si="9"/>
        <v>0</v>
      </c>
      <c r="AY18" s="15"/>
      <c r="AZ18" s="15">
        <f t="shared" si="10"/>
        <v>0</v>
      </c>
      <c r="BA18" s="15">
        <f t="shared" si="11"/>
        <v>0</v>
      </c>
      <c r="BB18" s="15">
        <f t="shared" si="12"/>
        <v>0</v>
      </c>
      <c r="BC18" s="15">
        <f t="shared" si="13"/>
        <v>0</v>
      </c>
      <c r="BD18" s="37">
        <f t="shared" si="14"/>
        <v>0</v>
      </c>
      <c r="BE18" s="15">
        <f t="shared" si="15"/>
        <v>0</v>
      </c>
      <c r="BF18" s="15">
        <f t="shared" si="16"/>
        <v>0</v>
      </c>
      <c r="BG18" s="41">
        <f t="shared" si="17"/>
        <v>0</v>
      </c>
      <c r="BH18" s="37">
        <f t="shared" si="18"/>
        <v>0</v>
      </c>
      <c r="BI18" s="1"/>
      <c r="BJ18" s="15"/>
      <c r="BK18" s="15">
        <f t="shared" si="19"/>
        <v>0</v>
      </c>
      <c r="BL18" s="37">
        <f t="shared" si="20"/>
        <v>0</v>
      </c>
      <c r="BM18" s="15"/>
      <c r="BN18" s="15"/>
    </row>
    <row r="19" spans="1:66" x14ac:dyDescent="0.25">
      <c r="A19" s="30" t="str">
        <f>$A$6&amp;IF(B19="","",COUNTA($B$9:B19)+100)</f>
        <v>SK-</v>
      </c>
      <c r="B19" s="15"/>
      <c r="C19" s="15"/>
      <c r="D19" s="15"/>
      <c r="E19" s="15"/>
      <c r="F19" s="15"/>
      <c r="G19" s="16"/>
      <c r="H19" s="16"/>
      <c r="I19" s="17"/>
      <c r="J19" s="15"/>
      <c r="K19" s="12" t="str">
        <f t="shared" si="2"/>
        <v xml:space="preserve"> </v>
      </c>
      <c r="L19" s="1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5">
        <f t="shared" si="3"/>
        <v>0</v>
      </c>
      <c r="AS19" s="15">
        <f t="shared" si="4"/>
        <v>0</v>
      </c>
      <c r="AT19" s="15">
        <f t="shared" si="5"/>
        <v>0</v>
      </c>
      <c r="AU19" s="15">
        <f t="shared" si="6"/>
        <v>0</v>
      </c>
      <c r="AV19" s="15">
        <f t="shared" si="7"/>
        <v>0</v>
      </c>
      <c r="AW19" s="15">
        <f t="shared" si="8"/>
        <v>0</v>
      </c>
      <c r="AX19" s="15">
        <f t="shared" si="9"/>
        <v>0</v>
      </c>
      <c r="AY19" s="15"/>
      <c r="AZ19" s="15">
        <f t="shared" si="10"/>
        <v>0</v>
      </c>
      <c r="BA19" s="15">
        <f t="shared" si="11"/>
        <v>0</v>
      </c>
      <c r="BB19" s="15">
        <f t="shared" si="12"/>
        <v>0</v>
      </c>
      <c r="BC19" s="15">
        <f t="shared" si="13"/>
        <v>0</v>
      </c>
      <c r="BD19" s="37">
        <f t="shared" si="14"/>
        <v>0</v>
      </c>
      <c r="BE19" s="15">
        <f t="shared" si="15"/>
        <v>0</v>
      </c>
      <c r="BF19" s="15">
        <f t="shared" si="16"/>
        <v>0</v>
      </c>
      <c r="BG19" s="41">
        <f t="shared" si="17"/>
        <v>0</v>
      </c>
      <c r="BH19" s="37">
        <f t="shared" si="18"/>
        <v>0</v>
      </c>
      <c r="BI19" s="1"/>
      <c r="BJ19" s="15"/>
      <c r="BK19" s="15">
        <f t="shared" si="19"/>
        <v>0</v>
      </c>
      <c r="BL19" s="37">
        <f t="shared" si="20"/>
        <v>0</v>
      </c>
      <c r="BM19" s="15"/>
      <c r="BN19" s="15"/>
    </row>
    <row r="20" spans="1:66" x14ac:dyDescent="0.25">
      <c r="A20" s="30" t="str">
        <f>$A$6&amp;IF(B20="","",COUNTA($B$9:B20)+100)</f>
        <v>SK-</v>
      </c>
      <c r="B20" s="15"/>
      <c r="C20" s="15"/>
      <c r="D20" s="15"/>
      <c r="E20" s="15"/>
      <c r="F20" s="15"/>
      <c r="G20" s="16"/>
      <c r="H20" s="16"/>
      <c r="I20" s="17"/>
      <c r="J20" s="15"/>
      <c r="K20" s="12" t="str">
        <f t="shared" si="2"/>
        <v xml:space="preserve"> </v>
      </c>
      <c r="L20" s="1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5">
        <f t="shared" si="3"/>
        <v>0</v>
      </c>
      <c r="AS20" s="15">
        <f t="shared" si="4"/>
        <v>0</v>
      </c>
      <c r="AT20" s="15">
        <f t="shared" si="5"/>
        <v>0</v>
      </c>
      <c r="AU20" s="15">
        <f t="shared" si="6"/>
        <v>0</v>
      </c>
      <c r="AV20" s="15">
        <f t="shared" si="7"/>
        <v>0</v>
      </c>
      <c r="AW20" s="15">
        <f t="shared" si="8"/>
        <v>0</v>
      </c>
      <c r="AX20" s="15">
        <f t="shared" si="9"/>
        <v>0</v>
      </c>
      <c r="AY20" s="15"/>
      <c r="AZ20" s="15">
        <f t="shared" si="10"/>
        <v>0</v>
      </c>
      <c r="BA20" s="15">
        <f t="shared" si="11"/>
        <v>0</v>
      </c>
      <c r="BB20" s="15">
        <f t="shared" si="12"/>
        <v>0</v>
      </c>
      <c r="BC20" s="15">
        <f t="shared" si="13"/>
        <v>0</v>
      </c>
      <c r="BD20" s="37">
        <f t="shared" si="14"/>
        <v>0</v>
      </c>
      <c r="BE20" s="15">
        <f t="shared" si="15"/>
        <v>0</v>
      </c>
      <c r="BF20" s="15">
        <f t="shared" si="16"/>
        <v>0</v>
      </c>
      <c r="BG20" s="41">
        <f t="shared" si="17"/>
        <v>0</v>
      </c>
      <c r="BH20" s="37">
        <f t="shared" si="18"/>
        <v>0</v>
      </c>
      <c r="BI20" s="1"/>
      <c r="BJ20" s="15"/>
      <c r="BK20" s="15">
        <f t="shared" si="19"/>
        <v>0</v>
      </c>
      <c r="BL20" s="37">
        <f t="shared" si="20"/>
        <v>0</v>
      </c>
      <c r="BM20" s="15"/>
      <c r="BN20" s="15"/>
    </row>
    <row r="21" spans="1:66" x14ac:dyDescent="0.25">
      <c r="A21" s="30" t="str">
        <f>$A$6&amp;IF(B21="","",COUNTA($B$9:B21)+100)</f>
        <v>SK-</v>
      </c>
      <c r="B21" s="15"/>
      <c r="C21" s="15"/>
      <c r="D21" s="15"/>
      <c r="E21" s="15"/>
      <c r="F21" s="15"/>
      <c r="G21" s="16"/>
      <c r="H21" s="16"/>
      <c r="I21" s="17"/>
      <c r="J21" s="15"/>
      <c r="K21" s="12" t="str">
        <f t="shared" si="2"/>
        <v xml:space="preserve"> </v>
      </c>
      <c r="L21" s="1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5">
        <f t="shared" si="3"/>
        <v>0</v>
      </c>
      <c r="AS21" s="15">
        <f t="shared" si="4"/>
        <v>0</v>
      </c>
      <c r="AT21" s="15">
        <f t="shared" si="5"/>
        <v>0</v>
      </c>
      <c r="AU21" s="15">
        <f t="shared" si="6"/>
        <v>0</v>
      </c>
      <c r="AV21" s="15">
        <f t="shared" si="7"/>
        <v>0</v>
      </c>
      <c r="AW21" s="15">
        <f t="shared" si="8"/>
        <v>0</v>
      </c>
      <c r="AX21" s="15">
        <f t="shared" si="9"/>
        <v>0</v>
      </c>
      <c r="AY21" s="15"/>
      <c r="AZ21" s="15">
        <f t="shared" si="10"/>
        <v>0</v>
      </c>
      <c r="BA21" s="15">
        <f t="shared" si="11"/>
        <v>0</v>
      </c>
      <c r="BB21" s="15">
        <f t="shared" si="12"/>
        <v>0</v>
      </c>
      <c r="BC21" s="15">
        <f t="shared" si="13"/>
        <v>0</v>
      </c>
      <c r="BD21" s="37">
        <f t="shared" si="14"/>
        <v>0</v>
      </c>
      <c r="BE21" s="15">
        <f t="shared" si="15"/>
        <v>0</v>
      </c>
      <c r="BF21" s="15">
        <f t="shared" si="16"/>
        <v>0</v>
      </c>
      <c r="BG21" s="41">
        <f t="shared" si="17"/>
        <v>0</v>
      </c>
      <c r="BH21" s="37">
        <f t="shared" si="18"/>
        <v>0</v>
      </c>
      <c r="BI21" s="1"/>
      <c r="BJ21" s="15"/>
      <c r="BK21" s="15">
        <f t="shared" si="19"/>
        <v>0</v>
      </c>
      <c r="BL21" s="37">
        <f t="shared" si="20"/>
        <v>0</v>
      </c>
      <c r="BM21" s="15"/>
      <c r="BN21" s="15"/>
    </row>
  </sheetData>
  <mergeCells count="3">
    <mergeCell ref="A1:AR2"/>
    <mergeCell ref="AZ6:BB6"/>
    <mergeCell ref="BE6:BG6"/>
  </mergeCells>
  <conditionalFormatting sqref="A9:A21">
    <cfRule type="expression" dxfId="90" priority="9">
      <formula>A9="SK-"</formula>
    </cfRule>
  </conditionalFormatting>
  <conditionalFormatting sqref="K9:K21">
    <cfRule type="expression" dxfId="89" priority="10">
      <formula>K9:K21="Emp. Resign this Company"</formula>
    </cfRule>
  </conditionalFormatting>
  <conditionalFormatting sqref="M9:AQ21">
    <cfRule type="expression" dxfId="88" priority="5">
      <formula>M9="P"</formula>
    </cfRule>
    <cfRule type="expression" dxfId="87" priority="6">
      <formula>M9="L"</formula>
    </cfRule>
    <cfRule type="expression" dxfId="86" priority="7">
      <formula>M9="H"</formula>
    </cfRule>
    <cfRule type="expression" dxfId="85" priority="8">
      <formula>M9="A"</formula>
    </cfRule>
    <cfRule type="expression" dxfId="84" priority="13">
      <formula>M$7="sun"</formula>
    </cfRule>
  </conditionalFormatting>
  <conditionalFormatting sqref="AO8">
    <cfRule type="expression" dxfId="83" priority="12">
      <formula>$AO$8=DATEVLUE(1/29/2024)</formula>
    </cfRule>
  </conditionalFormatting>
  <conditionalFormatting sqref="AP8">
    <cfRule type="expression" dxfId="82" priority="11">
      <formula>$AP$8=DATEVALUE("2/30/2024")</formula>
    </cfRule>
  </conditionalFormatting>
  <conditionalFormatting sqref="AR9:BL21">
    <cfRule type="expression" dxfId="81" priority="4">
      <formula>AR9=0</formula>
    </cfRule>
  </conditionalFormatting>
  <conditionalFormatting sqref="BM9:BN21">
    <cfRule type="expression" dxfId="80" priority="1">
      <formula>$BN9="Process"</formula>
    </cfRule>
    <cfRule type="expression" dxfId="79" priority="2">
      <formula>$BN9="Pending"</formula>
    </cfRule>
    <cfRule type="expression" dxfId="78" priority="3">
      <formula>$BN9="done"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'data sheet'!$D$2:$D$4</xm:f>
          </x14:formula1>
          <xm:sqref>BN9:BN21</xm:sqref>
        </x14:dataValidation>
        <x14:dataValidation type="list" allowBlank="1" showInputMessage="1" showErrorMessage="1">
          <x14:formula1>
            <xm:f>'data sheet'!$Q$1:$Q$12</xm:f>
          </x14:formula1>
          <xm:sqref>L5</xm:sqref>
        </x14:dataValidation>
        <x14:dataValidation type="list" allowBlank="1" showInputMessage="1" showErrorMessage="1">
          <x14:formula1>
            <xm:f>'data sheet'!$P$1:$P$99</xm:f>
          </x14:formula1>
          <xm:sqref>M5</xm:sqref>
        </x14:dataValidation>
        <x14:dataValidation type="list" allowBlank="1" showInputMessage="1" showErrorMessage="1">
          <x14:formula1>
            <xm:f>'data sheet'!$C$2:$C$9</xm:f>
          </x14:formula1>
          <xm:sqref>D9:D21</xm:sqref>
        </x14:dataValidation>
        <x14:dataValidation type="list" allowBlank="1" showInputMessage="1" showErrorMessage="1">
          <x14:formula1>
            <xm:f>'data sheet'!$B$2:$B$6</xm:f>
          </x14:formula1>
          <xm:sqref>C9:C21</xm:sqref>
        </x14:dataValidation>
        <x14:dataValidation type="list" allowBlank="1" showInputMessage="1" showErrorMessage="1">
          <x14:formula1>
            <xm:f>'data sheet'!$A$2:$A$14</xm:f>
          </x14:formula1>
          <xm:sqref>B9:B21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21"/>
  <sheetViews>
    <sheetView workbookViewId="0">
      <selection activeCell="A8" sqref="A8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5.85546875" bestFit="1" customWidth="1"/>
    <col min="4" max="4" width="4.85546875" bestFit="1" customWidth="1"/>
    <col min="5" max="5" width="7.7109375" bestFit="1" customWidth="1"/>
    <col min="6" max="6" width="7.140625" bestFit="1" customWidth="1"/>
    <col min="7" max="7" width="7.28515625" bestFit="1" customWidth="1"/>
    <col min="9" max="9" width="9" bestFit="1" customWidth="1"/>
    <col min="10" max="10" width="9.7109375" bestFit="1" customWidth="1"/>
    <col min="11" max="11" width="11.42578125" bestFit="1" customWidth="1"/>
    <col min="12" max="12" width="7" bestFit="1" customWidth="1"/>
    <col min="13" max="43" width="10.42578125" bestFit="1" customWidth="1"/>
    <col min="44" max="44" width="9.85546875" bestFit="1" customWidth="1"/>
    <col min="45" max="45" width="7.85546875" bestFit="1" customWidth="1"/>
    <col min="46" max="46" width="7.28515625" bestFit="1" customWidth="1"/>
    <col min="47" max="47" width="6.140625" bestFit="1" customWidth="1"/>
    <col min="48" max="48" width="7.42578125" bestFit="1" customWidth="1"/>
    <col min="49" max="49" width="8.140625" bestFit="1" customWidth="1"/>
    <col min="50" max="50" width="12.7109375" bestFit="1" customWidth="1"/>
    <col min="51" max="51" width="11.140625" bestFit="1" customWidth="1"/>
    <col min="52" max="52" width="19.7109375" bestFit="1" customWidth="1"/>
    <col min="53" max="53" width="21.85546875" bestFit="1" customWidth="1"/>
    <col min="54" max="54" width="22" bestFit="1" customWidth="1"/>
    <col min="55" max="55" width="27.5703125" bestFit="1" customWidth="1"/>
    <col min="56" max="56" width="8.7109375" bestFit="1" customWidth="1"/>
    <col min="57" max="57" width="4.5703125" bestFit="1" customWidth="1"/>
    <col min="58" max="58" width="4.7109375" bestFit="1" customWidth="1"/>
    <col min="59" max="59" width="22.42578125" bestFit="1" customWidth="1"/>
    <col min="60" max="60" width="11.7109375" bestFit="1" customWidth="1"/>
    <col min="61" max="61" width="8.5703125" bestFit="1" customWidth="1"/>
    <col min="62" max="62" width="14.28515625" bestFit="1" customWidth="1"/>
    <col min="63" max="64" width="10" bestFit="1" customWidth="1"/>
    <col min="65" max="65" width="15.85546875" bestFit="1" customWidth="1"/>
    <col min="66" max="66" width="6.42578125" bestFit="1" customWidth="1"/>
  </cols>
  <sheetData>
    <row r="1" spans="1:66" ht="30" customHeight="1" x14ac:dyDescent="0.25">
      <c r="A1" s="49" t="str">
        <f>"Attendance for"&amp;" "&amp;TEXT(P4,"mmmm yyyy")&amp;" "&amp;"Month"</f>
        <v>Attendance for July 2025 Month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BB1" s="15"/>
      <c r="BC1" s="42">
        <f>$AY$9/30</f>
        <v>0</v>
      </c>
      <c r="BD1" s="39">
        <f>BC1*30</f>
        <v>0</v>
      </c>
      <c r="BE1" s="39"/>
      <c r="BF1" s="39"/>
    </row>
    <row r="2" spans="1:66" ht="30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X2" s="23" t="s">
        <v>87</v>
      </c>
      <c r="AY2" s="24" t="s">
        <v>40</v>
      </c>
      <c r="AZ2" s="36" t="s">
        <v>70</v>
      </c>
      <c r="BA2" s="36" t="s">
        <v>71</v>
      </c>
      <c r="BB2" s="31" t="s">
        <v>67</v>
      </c>
      <c r="BC2" s="35" t="s">
        <v>68</v>
      </c>
      <c r="BD2" s="32" t="s">
        <v>89</v>
      </c>
      <c r="BE2" s="39"/>
      <c r="BF2" s="39">
        <f>AX9*BC1</f>
        <v>0</v>
      </c>
    </row>
    <row r="3" spans="1:66" x14ac:dyDescent="0.25">
      <c r="AX3" s="37">
        <f>$BC$1*$AV$9</f>
        <v>0</v>
      </c>
      <c r="AY3" s="37">
        <f>$BC$1*$AW$9/2</f>
        <v>0</v>
      </c>
      <c r="AZ3" s="37">
        <f>$BC$1*$AU$9/2</f>
        <v>0</v>
      </c>
      <c r="BA3" s="37">
        <f>$BC$1/8*$BJ$9</f>
        <v>0</v>
      </c>
      <c r="BB3" s="37">
        <f>$BC$1*$AT$9</f>
        <v>0</v>
      </c>
      <c r="BC3" s="15">
        <f>$BC$1*$AS$9</f>
        <v>0</v>
      </c>
      <c r="BD3" s="40">
        <f>(AX3)+(AY3)+(AZ3)+(BC3)</f>
        <v>0</v>
      </c>
      <c r="BE3" s="39"/>
      <c r="BF3" s="39"/>
    </row>
    <row r="4" spans="1:66" x14ac:dyDescent="0.25">
      <c r="L4" s="34" t="s">
        <v>14</v>
      </c>
      <c r="M4" s="34" t="s">
        <v>15</v>
      </c>
      <c r="O4" s="34" t="s">
        <v>0</v>
      </c>
      <c r="P4" s="3">
        <f>DATEVALUE("1"&amp;L5&amp;M5)</f>
        <v>45839</v>
      </c>
      <c r="AX4" s="15"/>
      <c r="AY4" s="15"/>
      <c r="AZ4" s="15"/>
      <c r="BA4" s="15"/>
      <c r="BB4" s="15"/>
      <c r="BC4" s="15"/>
      <c r="BD4" s="32"/>
      <c r="BE4" s="39"/>
      <c r="BF4" s="39"/>
    </row>
    <row r="5" spans="1:66" x14ac:dyDescent="0.25">
      <c r="L5" s="2" t="s">
        <v>8</v>
      </c>
      <c r="M5" s="2">
        <v>2025</v>
      </c>
      <c r="O5" s="34" t="s">
        <v>1</v>
      </c>
      <c r="P5" s="3">
        <f>EOMONTH(P4,0)</f>
        <v>45869</v>
      </c>
      <c r="AX5" s="10"/>
      <c r="AY5" s="10"/>
      <c r="AZ5" s="10"/>
      <c r="BA5" s="10"/>
      <c r="BB5" s="10"/>
      <c r="BC5" s="38"/>
      <c r="BD5" s="10"/>
      <c r="BI5" s="11"/>
      <c r="BJ5" s="11"/>
      <c r="BL5" s="11"/>
    </row>
    <row r="6" spans="1:66" x14ac:dyDescent="0.25">
      <c r="A6" s="32" t="s">
        <v>86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2"/>
      <c r="P6" s="13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X6" s="10"/>
      <c r="AZ6" s="48" t="s">
        <v>44</v>
      </c>
      <c r="BA6" s="48"/>
      <c r="BB6" s="48"/>
      <c r="BE6" s="51" t="s">
        <v>45</v>
      </c>
      <c r="BF6" s="51"/>
      <c r="BG6" s="52"/>
    </row>
    <row r="7" spans="1:6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8" t="str">
        <f t="shared" ref="M7:AQ7" si="0">TEXT(M8,"Ddd")</f>
        <v>Tue</v>
      </c>
      <c r="N7" s="8" t="str">
        <f t="shared" si="0"/>
        <v>Wed</v>
      </c>
      <c r="O7" s="8" t="str">
        <f t="shared" si="0"/>
        <v>Thu</v>
      </c>
      <c r="P7" s="8" t="str">
        <f t="shared" si="0"/>
        <v>Fri</v>
      </c>
      <c r="Q7" s="8" t="str">
        <f t="shared" si="0"/>
        <v>Sat</v>
      </c>
      <c r="R7" s="8" t="str">
        <f t="shared" si="0"/>
        <v>Sun</v>
      </c>
      <c r="S7" s="8" t="str">
        <f t="shared" si="0"/>
        <v>Mon</v>
      </c>
      <c r="T7" s="8" t="str">
        <f t="shared" si="0"/>
        <v>Tue</v>
      </c>
      <c r="U7" s="8" t="str">
        <f t="shared" si="0"/>
        <v>Wed</v>
      </c>
      <c r="V7" s="8" t="str">
        <f t="shared" si="0"/>
        <v>Thu</v>
      </c>
      <c r="W7" s="8" t="str">
        <f t="shared" si="0"/>
        <v>Fri</v>
      </c>
      <c r="X7" s="8" t="str">
        <f t="shared" si="0"/>
        <v>Sat</v>
      </c>
      <c r="Y7" s="8" t="str">
        <f t="shared" si="0"/>
        <v>Sun</v>
      </c>
      <c r="Z7" s="8" t="str">
        <f t="shared" si="0"/>
        <v>Mon</v>
      </c>
      <c r="AA7" s="8" t="str">
        <f t="shared" si="0"/>
        <v>Tue</v>
      </c>
      <c r="AB7" s="8" t="str">
        <f t="shared" si="0"/>
        <v>Wed</v>
      </c>
      <c r="AC7" s="8" t="str">
        <f t="shared" si="0"/>
        <v>Thu</v>
      </c>
      <c r="AD7" s="8" t="str">
        <f t="shared" si="0"/>
        <v>Fri</v>
      </c>
      <c r="AE7" s="8" t="str">
        <f t="shared" si="0"/>
        <v>Sat</v>
      </c>
      <c r="AF7" s="8" t="str">
        <f t="shared" si="0"/>
        <v>Sun</v>
      </c>
      <c r="AG7" s="8" t="str">
        <f t="shared" si="0"/>
        <v>Mon</v>
      </c>
      <c r="AH7" s="8" t="str">
        <f t="shared" si="0"/>
        <v>Tue</v>
      </c>
      <c r="AI7" s="8" t="str">
        <f t="shared" si="0"/>
        <v>Wed</v>
      </c>
      <c r="AJ7" s="8" t="str">
        <f t="shared" si="0"/>
        <v>Thu</v>
      </c>
      <c r="AK7" s="8" t="str">
        <f t="shared" si="0"/>
        <v>Fri</v>
      </c>
      <c r="AL7" s="8" t="str">
        <f t="shared" si="0"/>
        <v>Sat</v>
      </c>
      <c r="AM7" s="8" t="str">
        <f t="shared" si="0"/>
        <v>Sun</v>
      </c>
      <c r="AN7" s="8" t="str">
        <f t="shared" si="0"/>
        <v>Mon</v>
      </c>
      <c r="AO7" s="8" t="str">
        <f t="shared" si="0"/>
        <v>Tue</v>
      </c>
      <c r="AP7" s="8" t="str">
        <f t="shared" si="0"/>
        <v>Wed</v>
      </c>
      <c r="AQ7" s="8" t="str">
        <f t="shared" si="0"/>
        <v>Thu</v>
      </c>
      <c r="AX7" s="10"/>
      <c r="AY7" s="10"/>
      <c r="AZ7" s="28">
        <v>0.03</v>
      </c>
      <c r="BA7" s="28">
        <v>0.05</v>
      </c>
      <c r="BB7" s="28">
        <v>7.0000000000000007E-2</v>
      </c>
      <c r="BC7" s="10"/>
      <c r="BE7" s="29">
        <v>0.12</v>
      </c>
      <c r="BF7" s="29">
        <v>0.02</v>
      </c>
      <c r="BH7" s="10"/>
      <c r="BM7" s="10"/>
      <c r="BN7" s="10"/>
    </row>
    <row r="8" spans="1:66" x14ac:dyDescent="0.25">
      <c r="A8" s="14" t="s">
        <v>16</v>
      </c>
      <c r="B8" s="14" t="s">
        <v>17</v>
      </c>
      <c r="C8" s="14" t="s">
        <v>58</v>
      </c>
      <c r="D8" s="14" t="s">
        <v>59</v>
      </c>
      <c r="E8" s="14" t="s">
        <v>60</v>
      </c>
      <c r="F8" s="14" t="s">
        <v>61</v>
      </c>
      <c r="G8" s="14" t="s">
        <v>18</v>
      </c>
      <c r="H8" s="14" t="s">
        <v>41</v>
      </c>
      <c r="I8" s="14" t="s">
        <v>64</v>
      </c>
      <c r="J8" s="14" t="s">
        <v>63</v>
      </c>
      <c r="K8" s="14" t="s">
        <v>65</v>
      </c>
      <c r="L8" s="14" t="s">
        <v>20</v>
      </c>
      <c r="M8" s="46">
        <f>P4</f>
        <v>45839</v>
      </c>
      <c r="N8" s="46">
        <f t="shared" ref="N8:AM8" si="1">M8+1</f>
        <v>45840</v>
      </c>
      <c r="O8" s="46">
        <f t="shared" si="1"/>
        <v>45841</v>
      </c>
      <c r="P8" s="46">
        <f t="shared" si="1"/>
        <v>45842</v>
      </c>
      <c r="Q8" s="46">
        <f t="shared" si="1"/>
        <v>45843</v>
      </c>
      <c r="R8" s="46">
        <f t="shared" si="1"/>
        <v>45844</v>
      </c>
      <c r="S8" s="46">
        <f t="shared" si="1"/>
        <v>45845</v>
      </c>
      <c r="T8" s="46">
        <f t="shared" si="1"/>
        <v>45846</v>
      </c>
      <c r="U8" s="46">
        <f t="shared" si="1"/>
        <v>45847</v>
      </c>
      <c r="V8" s="46">
        <f t="shared" si="1"/>
        <v>45848</v>
      </c>
      <c r="W8" s="46">
        <f t="shared" si="1"/>
        <v>45849</v>
      </c>
      <c r="X8" s="46">
        <f t="shared" si="1"/>
        <v>45850</v>
      </c>
      <c r="Y8" s="46">
        <f t="shared" si="1"/>
        <v>45851</v>
      </c>
      <c r="Z8" s="46">
        <f t="shared" si="1"/>
        <v>45852</v>
      </c>
      <c r="AA8" s="46">
        <f t="shared" si="1"/>
        <v>45853</v>
      </c>
      <c r="AB8" s="46">
        <f t="shared" si="1"/>
        <v>45854</v>
      </c>
      <c r="AC8" s="46">
        <f t="shared" si="1"/>
        <v>45855</v>
      </c>
      <c r="AD8" s="46">
        <f t="shared" si="1"/>
        <v>45856</v>
      </c>
      <c r="AE8" s="46">
        <f t="shared" si="1"/>
        <v>45857</v>
      </c>
      <c r="AF8" s="46">
        <f t="shared" si="1"/>
        <v>45858</v>
      </c>
      <c r="AG8" s="46">
        <f t="shared" si="1"/>
        <v>45859</v>
      </c>
      <c r="AH8" s="46">
        <f t="shared" si="1"/>
        <v>45860</v>
      </c>
      <c r="AI8" s="46">
        <f t="shared" si="1"/>
        <v>45861</v>
      </c>
      <c r="AJ8" s="46">
        <f t="shared" si="1"/>
        <v>45862</v>
      </c>
      <c r="AK8" s="46">
        <f t="shared" si="1"/>
        <v>45863</v>
      </c>
      <c r="AL8" s="46">
        <f t="shared" si="1"/>
        <v>45864</v>
      </c>
      <c r="AM8" s="46">
        <f t="shared" si="1"/>
        <v>45865</v>
      </c>
      <c r="AN8" s="46">
        <f>IF(AM8&lt;$P$5,AM8+1," ")</f>
        <v>45866</v>
      </c>
      <c r="AO8" s="46">
        <f>IF(AN8&lt;$P$5,AN8+1," ")</f>
        <v>45867</v>
      </c>
      <c r="AP8" s="46">
        <f>IF(AO8&lt;$P$5,AO8+1," ")</f>
        <v>45868</v>
      </c>
      <c r="AQ8" s="46">
        <f>IF(AP8&lt;$P$5,AP8+1," ")</f>
        <v>45869</v>
      </c>
      <c r="AR8" s="21" t="s">
        <v>42</v>
      </c>
      <c r="AS8" s="18" t="s">
        <v>25</v>
      </c>
      <c r="AT8" s="22" t="s">
        <v>38</v>
      </c>
      <c r="AU8" s="23" t="s">
        <v>39</v>
      </c>
      <c r="AV8" s="23" t="s">
        <v>87</v>
      </c>
      <c r="AW8" s="24" t="s">
        <v>40</v>
      </c>
      <c r="AX8" s="25" t="s">
        <v>43</v>
      </c>
      <c r="AY8" s="4" t="s">
        <v>46</v>
      </c>
      <c r="AZ8" s="4" t="s">
        <v>49</v>
      </c>
      <c r="BA8" s="26" t="s">
        <v>50</v>
      </c>
      <c r="BB8" s="8" t="s">
        <v>51</v>
      </c>
      <c r="BC8" s="27" t="s">
        <v>52</v>
      </c>
      <c r="BD8" s="20" t="s">
        <v>53</v>
      </c>
      <c r="BE8" s="7" t="s">
        <v>54</v>
      </c>
      <c r="BF8" s="9" t="s">
        <v>69</v>
      </c>
      <c r="BG8" s="45" t="s">
        <v>95</v>
      </c>
      <c r="BH8" s="27" t="s">
        <v>55</v>
      </c>
      <c r="BI8" s="7" t="s">
        <v>48</v>
      </c>
      <c r="BJ8" s="5" t="s">
        <v>62</v>
      </c>
      <c r="BK8" s="6" t="s">
        <v>47</v>
      </c>
      <c r="BL8" s="19" t="s">
        <v>56</v>
      </c>
      <c r="BM8" s="20" t="s">
        <v>57</v>
      </c>
      <c r="BN8" s="44" t="s">
        <v>91</v>
      </c>
    </row>
    <row r="9" spans="1:66" x14ac:dyDescent="0.25">
      <c r="A9" s="30" t="str">
        <f>$A$6&amp;IF(B9="","",COUNTA($B$9:B9)+100)</f>
        <v>SK-</v>
      </c>
      <c r="B9" s="15"/>
      <c r="C9" s="15"/>
      <c r="D9" s="15"/>
      <c r="E9" s="15"/>
      <c r="F9" s="15"/>
      <c r="G9" s="16"/>
      <c r="H9" s="16"/>
      <c r="I9" s="17"/>
      <c r="J9" s="17"/>
      <c r="K9" s="12" t="str">
        <f>IF($J9=""," ","Emp. Resign this Company")</f>
        <v xml:space="preserve"> </v>
      </c>
      <c r="L9" s="1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5">
        <f>COUNTA(M9:AQ9)</f>
        <v>0</v>
      </c>
      <c r="AS9" s="15">
        <f>COUNTIF(M9:AQ9,"P")</f>
        <v>0</v>
      </c>
      <c r="AT9" s="15">
        <f>COUNTIF(M9:AQ9,"A")</f>
        <v>0</v>
      </c>
      <c r="AU9" s="15">
        <f>COUNTIF(M9:AQ9,"L")</f>
        <v>0</v>
      </c>
      <c r="AV9" s="15">
        <f>COUNTIF(M9:AQ9,"SUN")</f>
        <v>0</v>
      </c>
      <c r="AW9" s="15">
        <f>COUNTIF(M9:AQ9,"H")</f>
        <v>0</v>
      </c>
      <c r="AX9" s="15">
        <f>($AR9-$AT9)-($AW9/2)-($AU9/2)</f>
        <v>0</v>
      </c>
      <c r="AY9" s="15"/>
      <c r="AZ9" s="15">
        <f>$AY9*$AZ$7</f>
        <v>0</v>
      </c>
      <c r="BA9" s="15">
        <f>$AY9*$BA$7</f>
        <v>0</v>
      </c>
      <c r="BB9" s="15">
        <f>$AY9*$BB$7</f>
        <v>0</v>
      </c>
      <c r="BC9" s="15">
        <f>$AZ9+$BA9+$BB9</f>
        <v>0</v>
      </c>
      <c r="BD9" s="37">
        <f>($AY9+$BC9)</f>
        <v>0</v>
      </c>
      <c r="BE9" s="15">
        <f>$AY9*$BE$7</f>
        <v>0</v>
      </c>
      <c r="BF9" s="15">
        <f>$AY9*$BF$7</f>
        <v>0</v>
      </c>
      <c r="BG9" s="41">
        <f>$BC$1*$AT9</f>
        <v>0</v>
      </c>
      <c r="BH9" s="37">
        <f>$BE9+$BF9+$BG9</f>
        <v>0</v>
      </c>
      <c r="BI9" s="1"/>
      <c r="BJ9" s="15"/>
      <c r="BK9" s="15">
        <f>IF($BA$4="",$AY9/30/8*$BJ9,$BA4*$BJ9)</f>
        <v>0</v>
      </c>
      <c r="BL9" s="37">
        <f>($BD9-$BH9)-$BI9</f>
        <v>0</v>
      </c>
      <c r="BM9" s="17"/>
      <c r="BN9" s="15"/>
    </row>
    <row r="10" spans="1:66" x14ac:dyDescent="0.25">
      <c r="A10" s="30" t="str">
        <f>$A$6&amp;IF(B10="","",COUNTA($B$9:B10)+100)</f>
        <v>SK-</v>
      </c>
      <c r="B10" s="15"/>
      <c r="C10" s="15"/>
      <c r="D10" s="15"/>
      <c r="E10" s="15"/>
      <c r="F10" s="15"/>
      <c r="G10" s="16"/>
      <c r="H10" s="16"/>
      <c r="I10" s="17"/>
      <c r="J10" s="17"/>
      <c r="K10" s="12" t="str">
        <f t="shared" ref="K10:K21" si="2">IF($J10=""," ","Emp. Resign this Company")</f>
        <v xml:space="preserve"> </v>
      </c>
      <c r="L10" s="1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5">
        <f t="shared" ref="AR10:AR21" si="3">COUNTA(M10:AQ10)</f>
        <v>0</v>
      </c>
      <c r="AS10" s="15">
        <f t="shared" ref="AS10:AS21" si="4">COUNTIF(M10:AQ10,"P")</f>
        <v>0</v>
      </c>
      <c r="AT10" s="15">
        <f t="shared" ref="AT10:AT21" si="5">COUNTIF(M10:AQ10,"A")</f>
        <v>0</v>
      </c>
      <c r="AU10" s="15">
        <f t="shared" ref="AU10:AU21" si="6">COUNTIF(M10:AQ10,"L")</f>
        <v>0</v>
      </c>
      <c r="AV10" s="15">
        <f t="shared" ref="AV10:AV21" si="7">COUNTIF(M10:AQ10,"SUN")</f>
        <v>0</v>
      </c>
      <c r="AW10" s="15">
        <f t="shared" ref="AW10:AW21" si="8">COUNTIF(M10:AQ10,"H")</f>
        <v>0</v>
      </c>
      <c r="AX10" s="15">
        <f t="shared" ref="AX10:AX21" si="9">($AR10-$AT10)-($AW10/2)-($AU10/2)</f>
        <v>0</v>
      </c>
      <c r="AY10" s="15"/>
      <c r="AZ10" s="15">
        <f t="shared" ref="AZ10:AZ21" si="10">$AY10*$AZ$7</f>
        <v>0</v>
      </c>
      <c r="BA10" s="15">
        <f t="shared" ref="BA10:BA21" si="11">$AY10*$BA$7</f>
        <v>0</v>
      </c>
      <c r="BB10" s="15">
        <f t="shared" ref="BB10:BB21" si="12">$AY10*$BB$7</f>
        <v>0</v>
      </c>
      <c r="BC10" s="15">
        <f t="shared" ref="BC10:BC21" si="13">$AZ10+$BA10+$BB10</f>
        <v>0</v>
      </c>
      <c r="BD10" s="37">
        <f t="shared" ref="BD10:BD21" si="14">($AY10+$BC10)</f>
        <v>0</v>
      </c>
      <c r="BE10" s="15">
        <f t="shared" ref="BE10:BE21" si="15">$AY10*$BE$7</f>
        <v>0</v>
      </c>
      <c r="BF10" s="15">
        <f t="shared" ref="BF10:BF21" si="16">$AY10*$BF$7</f>
        <v>0</v>
      </c>
      <c r="BG10" s="41">
        <f t="shared" ref="BG10:BG21" si="17">$BC$1*$AT10</f>
        <v>0</v>
      </c>
      <c r="BH10" s="37">
        <f t="shared" ref="BH10:BH21" si="18">$BE10+$BF10+$BG10</f>
        <v>0</v>
      </c>
      <c r="BI10" s="1"/>
      <c r="BJ10" s="15"/>
      <c r="BK10" s="15">
        <f t="shared" ref="BK10:BK21" si="19">IF($BA$4="",$AY10/30/8*$BJ10,$BA5*$BJ10)</f>
        <v>0</v>
      </c>
      <c r="BL10" s="37">
        <f t="shared" ref="BL10:BL21" si="20">($BD10-$BH10)-$BI10</f>
        <v>0</v>
      </c>
      <c r="BM10" s="15"/>
      <c r="BN10" s="15"/>
    </row>
    <row r="11" spans="1:66" x14ac:dyDescent="0.25">
      <c r="A11" s="30" t="str">
        <f>$A$6&amp;IF(B11="","",COUNTA($B$9:B11)+100)</f>
        <v>SK-</v>
      </c>
      <c r="B11" s="15"/>
      <c r="C11" s="15"/>
      <c r="D11" s="15"/>
      <c r="E11" s="15"/>
      <c r="F11" s="15"/>
      <c r="G11" s="16"/>
      <c r="H11" s="16"/>
      <c r="I11" s="17"/>
      <c r="J11" s="15"/>
      <c r="K11" s="12" t="str">
        <f t="shared" si="2"/>
        <v xml:space="preserve"> </v>
      </c>
      <c r="L11" s="1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5">
        <f t="shared" si="3"/>
        <v>0</v>
      </c>
      <c r="AS11" s="15">
        <f t="shared" si="4"/>
        <v>0</v>
      </c>
      <c r="AT11" s="15">
        <f t="shared" si="5"/>
        <v>0</v>
      </c>
      <c r="AU11" s="15">
        <f t="shared" si="6"/>
        <v>0</v>
      </c>
      <c r="AV11" s="15">
        <f t="shared" si="7"/>
        <v>0</v>
      </c>
      <c r="AW11" s="15">
        <f t="shared" si="8"/>
        <v>0</v>
      </c>
      <c r="AX11" s="15">
        <f t="shared" si="9"/>
        <v>0</v>
      </c>
      <c r="AY11" s="15"/>
      <c r="AZ11" s="15">
        <f t="shared" si="10"/>
        <v>0</v>
      </c>
      <c r="BA11" s="15">
        <f t="shared" si="11"/>
        <v>0</v>
      </c>
      <c r="BB11" s="15">
        <f t="shared" si="12"/>
        <v>0</v>
      </c>
      <c r="BC11" s="15">
        <f t="shared" si="13"/>
        <v>0</v>
      </c>
      <c r="BD11" s="37">
        <f t="shared" si="14"/>
        <v>0</v>
      </c>
      <c r="BE11" s="15">
        <f t="shared" si="15"/>
        <v>0</v>
      </c>
      <c r="BF11" s="15">
        <f t="shared" si="16"/>
        <v>0</v>
      </c>
      <c r="BG11" s="41">
        <f t="shared" si="17"/>
        <v>0</v>
      </c>
      <c r="BH11" s="37">
        <f t="shared" si="18"/>
        <v>0</v>
      </c>
      <c r="BI11" s="1"/>
      <c r="BJ11" s="15"/>
      <c r="BK11" s="15">
        <f t="shared" si="19"/>
        <v>0</v>
      </c>
      <c r="BL11" s="37">
        <f t="shared" si="20"/>
        <v>0</v>
      </c>
      <c r="BM11" s="15"/>
      <c r="BN11" s="15"/>
    </row>
    <row r="12" spans="1:66" x14ac:dyDescent="0.25">
      <c r="A12" s="30" t="str">
        <f>$A$6&amp;IF(B12="","",COUNTA($B$9:B12)+100)</f>
        <v>SK-</v>
      </c>
      <c r="B12" s="15"/>
      <c r="C12" s="15"/>
      <c r="D12" s="15"/>
      <c r="E12" s="15"/>
      <c r="F12" s="15"/>
      <c r="G12" s="16"/>
      <c r="H12" s="16"/>
      <c r="I12" s="17"/>
      <c r="J12" s="15"/>
      <c r="K12" s="12" t="str">
        <f t="shared" si="2"/>
        <v xml:space="preserve"> </v>
      </c>
      <c r="L12" s="1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5">
        <f t="shared" si="3"/>
        <v>0</v>
      </c>
      <c r="AS12" s="15">
        <f t="shared" si="4"/>
        <v>0</v>
      </c>
      <c r="AT12" s="15">
        <f t="shared" si="5"/>
        <v>0</v>
      </c>
      <c r="AU12" s="15">
        <f t="shared" si="6"/>
        <v>0</v>
      </c>
      <c r="AV12" s="15">
        <f t="shared" si="7"/>
        <v>0</v>
      </c>
      <c r="AW12" s="15">
        <f>COUNTIF(M12:AQ12,"H")</f>
        <v>0</v>
      </c>
      <c r="AX12" s="15">
        <f t="shared" si="9"/>
        <v>0</v>
      </c>
      <c r="AY12" s="15"/>
      <c r="AZ12" s="15">
        <f t="shared" si="10"/>
        <v>0</v>
      </c>
      <c r="BA12" s="15">
        <f t="shared" si="11"/>
        <v>0</v>
      </c>
      <c r="BB12" s="15">
        <f t="shared" si="12"/>
        <v>0</v>
      </c>
      <c r="BC12" s="15">
        <f t="shared" si="13"/>
        <v>0</v>
      </c>
      <c r="BD12" s="37">
        <f t="shared" si="14"/>
        <v>0</v>
      </c>
      <c r="BE12" s="15">
        <f t="shared" si="15"/>
        <v>0</v>
      </c>
      <c r="BF12" s="15">
        <f t="shared" si="16"/>
        <v>0</v>
      </c>
      <c r="BG12" s="41">
        <f t="shared" si="17"/>
        <v>0</v>
      </c>
      <c r="BH12" s="37">
        <f t="shared" si="18"/>
        <v>0</v>
      </c>
      <c r="BI12" s="1"/>
      <c r="BJ12" s="15"/>
      <c r="BK12" s="15">
        <f t="shared" si="19"/>
        <v>0</v>
      </c>
      <c r="BL12" s="37">
        <f t="shared" si="20"/>
        <v>0</v>
      </c>
      <c r="BM12" s="15"/>
      <c r="BN12" s="15"/>
    </row>
    <row r="13" spans="1:66" x14ac:dyDescent="0.25">
      <c r="A13" s="30" t="str">
        <f>$A$6&amp;IF(B13="","",COUNTA($B$9:B13)+100)</f>
        <v>SK-</v>
      </c>
      <c r="B13" s="15"/>
      <c r="C13" s="15"/>
      <c r="D13" s="15"/>
      <c r="E13" s="15"/>
      <c r="F13" s="15"/>
      <c r="G13" s="16"/>
      <c r="H13" s="16"/>
      <c r="I13" s="17"/>
      <c r="J13" s="17"/>
      <c r="K13" s="12" t="str">
        <f t="shared" si="2"/>
        <v xml:space="preserve"> </v>
      </c>
      <c r="L13" s="1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5">
        <f t="shared" si="3"/>
        <v>0</v>
      </c>
      <c r="AS13" s="15">
        <f t="shared" si="4"/>
        <v>0</v>
      </c>
      <c r="AT13" s="15">
        <f t="shared" si="5"/>
        <v>0</v>
      </c>
      <c r="AU13" s="15">
        <f t="shared" si="6"/>
        <v>0</v>
      </c>
      <c r="AV13" s="15">
        <f t="shared" si="7"/>
        <v>0</v>
      </c>
      <c r="AW13" s="15">
        <f t="shared" si="8"/>
        <v>0</v>
      </c>
      <c r="AX13" s="15">
        <f t="shared" si="9"/>
        <v>0</v>
      </c>
      <c r="AY13" s="15"/>
      <c r="AZ13" s="15">
        <f t="shared" si="10"/>
        <v>0</v>
      </c>
      <c r="BA13" s="15">
        <f t="shared" si="11"/>
        <v>0</v>
      </c>
      <c r="BB13" s="15">
        <f t="shared" si="12"/>
        <v>0</v>
      </c>
      <c r="BC13" s="15">
        <f t="shared" si="13"/>
        <v>0</v>
      </c>
      <c r="BD13" s="37">
        <f t="shared" si="14"/>
        <v>0</v>
      </c>
      <c r="BE13" s="15">
        <f t="shared" si="15"/>
        <v>0</v>
      </c>
      <c r="BF13" s="15">
        <f t="shared" si="16"/>
        <v>0</v>
      </c>
      <c r="BG13" s="41">
        <f t="shared" si="17"/>
        <v>0</v>
      </c>
      <c r="BH13" s="37">
        <f t="shared" si="18"/>
        <v>0</v>
      </c>
      <c r="BI13" s="1"/>
      <c r="BJ13" s="15"/>
      <c r="BK13" s="15">
        <f t="shared" si="19"/>
        <v>0</v>
      </c>
      <c r="BL13" s="37">
        <f t="shared" si="20"/>
        <v>0</v>
      </c>
      <c r="BM13" s="15"/>
      <c r="BN13" s="15"/>
    </row>
    <row r="14" spans="1:66" x14ac:dyDescent="0.25">
      <c r="A14" s="30" t="str">
        <f>$A$6&amp;IF(B14="","",COUNTA($B$9:B14)+100)</f>
        <v>SK-</v>
      </c>
      <c r="B14" s="15"/>
      <c r="C14" s="15"/>
      <c r="D14" s="15"/>
      <c r="E14" s="15"/>
      <c r="F14" s="15"/>
      <c r="G14" s="16"/>
      <c r="H14" s="16"/>
      <c r="I14" s="17"/>
      <c r="J14" s="15"/>
      <c r="K14" s="12" t="str">
        <f t="shared" si="2"/>
        <v xml:space="preserve"> </v>
      </c>
      <c r="L14" s="1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5">
        <f t="shared" si="3"/>
        <v>0</v>
      </c>
      <c r="AS14" s="15">
        <f t="shared" si="4"/>
        <v>0</v>
      </c>
      <c r="AT14" s="15">
        <f t="shared" si="5"/>
        <v>0</v>
      </c>
      <c r="AU14" s="15">
        <f t="shared" si="6"/>
        <v>0</v>
      </c>
      <c r="AV14" s="15">
        <f t="shared" si="7"/>
        <v>0</v>
      </c>
      <c r="AW14" s="15">
        <f t="shared" si="8"/>
        <v>0</v>
      </c>
      <c r="AX14" s="15">
        <f t="shared" si="9"/>
        <v>0</v>
      </c>
      <c r="AY14" s="15"/>
      <c r="AZ14" s="15">
        <f t="shared" si="10"/>
        <v>0</v>
      </c>
      <c r="BA14" s="15">
        <f t="shared" si="11"/>
        <v>0</v>
      </c>
      <c r="BB14" s="15">
        <f t="shared" si="12"/>
        <v>0</v>
      </c>
      <c r="BC14" s="15">
        <f t="shared" si="13"/>
        <v>0</v>
      </c>
      <c r="BD14" s="37">
        <f t="shared" si="14"/>
        <v>0</v>
      </c>
      <c r="BE14" s="15">
        <f t="shared" si="15"/>
        <v>0</v>
      </c>
      <c r="BF14" s="15">
        <f t="shared" si="16"/>
        <v>0</v>
      </c>
      <c r="BG14" s="41">
        <f t="shared" si="17"/>
        <v>0</v>
      </c>
      <c r="BH14" s="37">
        <f t="shared" si="18"/>
        <v>0</v>
      </c>
      <c r="BI14" s="1"/>
      <c r="BJ14" s="15"/>
      <c r="BK14" s="15">
        <f t="shared" si="19"/>
        <v>0</v>
      </c>
      <c r="BL14" s="37">
        <f t="shared" si="20"/>
        <v>0</v>
      </c>
      <c r="BM14" s="15"/>
      <c r="BN14" s="15"/>
    </row>
    <row r="15" spans="1:66" x14ac:dyDescent="0.25">
      <c r="A15" s="30" t="str">
        <f>$A$6&amp;IF(B15="","",COUNTA($B$9:B15)+100)</f>
        <v>SK-</v>
      </c>
      <c r="B15" s="15"/>
      <c r="C15" s="15"/>
      <c r="D15" s="15"/>
      <c r="E15" s="15"/>
      <c r="F15" s="15"/>
      <c r="G15" s="16"/>
      <c r="H15" s="16"/>
      <c r="I15" s="17"/>
      <c r="J15" s="15"/>
      <c r="K15" s="12" t="str">
        <f t="shared" si="2"/>
        <v xml:space="preserve"> </v>
      </c>
      <c r="L15" s="1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5">
        <f t="shared" si="3"/>
        <v>0</v>
      </c>
      <c r="AS15" s="15">
        <f t="shared" si="4"/>
        <v>0</v>
      </c>
      <c r="AT15" s="15">
        <f t="shared" si="5"/>
        <v>0</v>
      </c>
      <c r="AU15" s="15">
        <f t="shared" si="6"/>
        <v>0</v>
      </c>
      <c r="AV15" s="15">
        <f t="shared" si="7"/>
        <v>0</v>
      </c>
      <c r="AW15" s="15">
        <f t="shared" si="8"/>
        <v>0</v>
      </c>
      <c r="AX15" s="15">
        <f t="shared" si="9"/>
        <v>0</v>
      </c>
      <c r="AY15" s="15"/>
      <c r="AZ15" s="15">
        <f t="shared" si="10"/>
        <v>0</v>
      </c>
      <c r="BA15" s="15">
        <f t="shared" si="11"/>
        <v>0</v>
      </c>
      <c r="BB15" s="15">
        <f t="shared" si="12"/>
        <v>0</v>
      </c>
      <c r="BC15" s="15">
        <f t="shared" si="13"/>
        <v>0</v>
      </c>
      <c r="BD15" s="37">
        <f t="shared" si="14"/>
        <v>0</v>
      </c>
      <c r="BE15" s="15">
        <f t="shared" si="15"/>
        <v>0</v>
      </c>
      <c r="BF15" s="15">
        <f t="shared" si="16"/>
        <v>0</v>
      </c>
      <c r="BG15" s="41">
        <f t="shared" si="17"/>
        <v>0</v>
      </c>
      <c r="BH15" s="37">
        <f t="shared" si="18"/>
        <v>0</v>
      </c>
      <c r="BI15" s="1"/>
      <c r="BJ15" s="15"/>
      <c r="BK15" s="15">
        <f t="shared" si="19"/>
        <v>0</v>
      </c>
      <c r="BL15" s="37">
        <f t="shared" si="20"/>
        <v>0</v>
      </c>
      <c r="BM15" s="15"/>
      <c r="BN15" s="15"/>
    </row>
    <row r="16" spans="1:66" x14ac:dyDescent="0.25">
      <c r="A16" s="30" t="str">
        <f>$A$6&amp;IF(B16="","",COUNTA($B$9:B16)+100)</f>
        <v>SK-</v>
      </c>
      <c r="B16" s="15"/>
      <c r="C16" s="15"/>
      <c r="D16" s="15"/>
      <c r="E16" s="15"/>
      <c r="F16" s="15"/>
      <c r="G16" s="16"/>
      <c r="H16" s="16"/>
      <c r="I16" s="17"/>
      <c r="J16" s="15"/>
      <c r="K16" s="12" t="str">
        <f t="shared" si="2"/>
        <v xml:space="preserve"> </v>
      </c>
      <c r="L16" s="1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5">
        <f t="shared" si="3"/>
        <v>0</v>
      </c>
      <c r="AS16" s="15">
        <f t="shared" si="4"/>
        <v>0</v>
      </c>
      <c r="AT16" s="15">
        <f t="shared" si="5"/>
        <v>0</v>
      </c>
      <c r="AU16" s="15">
        <f t="shared" si="6"/>
        <v>0</v>
      </c>
      <c r="AV16" s="15">
        <f t="shared" si="7"/>
        <v>0</v>
      </c>
      <c r="AW16" s="15">
        <f t="shared" si="8"/>
        <v>0</v>
      </c>
      <c r="AX16" s="15">
        <f t="shared" si="9"/>
        <v>0</v>
      </c>
      <c r="AY16" s="15"/>
      <c r="AZ16" s="15">
        <f t="shared" si="10"/>
        <v>0</v>
      </c>
      <c r="BA16" s="15">
        <f t="shared" si="11"/>
        <v>0</v>
      </c>
      <c r="BB16" s="15">
        <f t="shared" si="12"/>
        <v>0</v>
      </c>
      <c r="BC16" s="15">
        <f t="shared" si="13"/>
        <v>0</v>
      </c>
      <c r="BD16" s="37">
        <f t="shared" si="14"/>
        <v>0</v>
      </c>
      <c r="BE16" s="15">
        <f t="shared" si="15"/>
        <v>0</v>
      </c>
      <c r="BF16" s="15">
        <f t="shared" si="16"/>
        <v>0</v>
      </c>
      <c r="BG16" s="41">
        <f t="shared" si="17"/>
        <v>0</v>
      </c>
      <c r="BH16" s="37">
        <f t="shared" si="18"/>
        <v>0</v>
      </c>
      <c r="BI16" s="1"/>
      <c r="BJ16" s="15"/>
      <c r="BK16" s="15">
        <f t="shared" si="19"/>
        <v>0</v>
      </c>
      <c r="BL16" s="37">
        <f t="shared" si="20"/>
        <v>0</v>
      </c>
      <c r="BM16" s="15"/>
      <c r="BN16" s="15"/>
    </row>
    <row r="17" spans="1:66" x14ac:dyDescent="0.25">
      <c r="A17" s="30" t="str">
        <f>$A$6&amp;IF(B17="","",COUNTA($B$9:B17)+100)</f>
        <v>SK-</v>
      </c>
      <c r="B17" s="15"/>
      <c r="C17" s="15"/>
      <c r="D17" s="15"/>
      <c r="E17" s="15"/>
      <c r="F17" s="15"/>
      <c r="G17" s="16"/>
      <c r="H17" s="16"/>
      <c r="I17" s="17"/>
      <c r="J17" s="15"/>
      <c r="K17" s="12" t="str">
        <f t="shared" si="2"/>
        <v xml:space="preserve"> </v>
      </c>
      <c r="L17" s="1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5">
        <f t="shared" si="3"/>
        <v>0</v>
      </c>
      <c r="AS17" s="15">
        <f t="shared" si="4"/>
        <v>0</v>
      </c>
      <c r="AT17" s="15">
        <f t="shared" si="5"/>
        <v>0</v>
      </c>
      <c r="AU17" s="15">
        <f t="shared" si="6"/>
        <v>0</v>
      </c>
      <c r="AV17" s="15">
        <f t="shared" si="7"/>
        <v>0</v>
      </c>
      <c r="AW17" s="15">
        <f t="shared" si="8"/>
        <v>0</v>
      </c>
      <c r="AX17" s="15">
        <f t="shared" si="9"/>
        <v>0</v>
      </c>
      <c r="AY17" s="15"/>
      <c r="AZ17" s="15">
        <f t="shared" si="10"/>
        <v>0</v>
      </c>
      <c r="BA17" s="15">
        <f t="shared" si="11"/>
        <v>0</v>
      </c>
      <c r="BB17" s="15">
        <f t="shared" si="12"/>
        <v>0</v>
      </c>
      <c r="BC17" s="15">
        <f t="shared" si="13"/>
        <v>0</v>
      </c>
      <c r="BD17" s="37">
        <f t="shared" si="14"/>
        <v>0</v>
      </c>
      <c r="BE17" s="15">
        <f t="shared" si="15"/>
        <v>0</v>
      </c>
      <c r="BF17" s="15">
        <f t="shared" si="16"/>
        <v>0</v>
      </c>
      <c r="BG17" s="41">
        <f t="shared" si="17"/>
        <v>0</v>
      </c>
      <c r="BH17" s="37">
        <f t="shared" si="18"/>
        <v>0</v>
      </c>
      <c r="BI17" s="1"/>
      <c r="BJ17" s="15"/>
      <c r="BK17" s="15">
        <f t="shared" si="19"/>
        <v>0</v>
      </c>
      <c r="BL17" s="37">
        <f t="shared" si="20"/>
        <v>0</v>
      </c>
      <c r="BM17" s="15"/>
      <c r="BN17" s="15"/>
    </row>
    <row r="18" spans="1:66" x14ac:dyDescent="0.25">
      <c r="A18" s="30" t="str">
        <f>$A$6&amp;IF(B18="","",COUNTA($B$9:B18)+100)</f>
        <v>SK-</v>
      </c>
      <c r="B18" s="15"/>
      <c r="C18" s="15"/>
      <c r="D18" s="15"/>
      <c r="E18" s="15"/>
      <c r="F18" s="15"/>
      <c r="G18" s="16"/>
      <c r="H18" s="16"/>
      <c r="I18" s="17"/>
      <c r="J18" s="15"/>
      <c r="K18" s="12" t="str">
        <f t="shared" si="2"/>
        <v xml:space="preserve"> </v>
      </c>
      <c r="L18" s="1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5">
        <f t="shared" si="3"/>
        <v>0</v>
      </c>
      <c r="AS18" s="15">
        <f t="shared" si="4"/>
        <v>0</v>
      </c>
      <c r="AT18" s="15">
        <f t="shared" si="5"/>
        <v>0</v>
      </c>
      <c r="AU18" s="15">
        <f t="shared" si="6"/>
        <v>0</v>
      </c>
      <c r="AV18" s="15">
        <f t="shared" si="7"/>
        <v>0</v>
      </c>
      <c r="AW18" s="15">
        <f t="shared" si="8"/>
        <v>0</v>
      </c>
      <c r="AX18" s="15">
        <f t="shared" si="9"/>
        <v>0</v>
      </c>
      <c r="AY18" s="15"/>
      <c r="AZ18" s="15">
        <f t="shared" si="10"/>
        <v>0</v>
      </c>
      <c r="BA18" s="15">
        <f t="shared" si="11"/>
        <v>0</v>
      </c>
      <c r="BB18" s="15">
        <f t="shared" si="12"/>
        <v>0</v>
      </c>
      <c r="BC18" s="15">
        <f t="shared" si="13"/>
        <v>0</v>
      </c>
      <c r="BD18" s="37">
        <f t="shared" si="14"/>
        <v>0</v>
      </c>
      <c r="BE18" s="15">
        <f t="shared" si="15"/>
        <v>0</v>
      </c>
      <c r="BF18" s="15">
        <f t="shared" si="16"/>
        <v>0</v>
      </c>
      <c r="BG18" s="41">
        <f t="shared" si="17"/>
        <v>0</v>
      </c>
      <c r="BH18" s="37">
        <f t="shared" si="18"/>
        <v>0</v>
      </c>
      <c r="BI18" s="1"/>
      <c r="BJ18" s="15"/>
      <c r="BK18" s="15">
        <f t="shared" si="19"/>
        <v>0</v>
      </c>
      <c r="BL18" s="37">
        <f t="shared" si="20"/>
        <v>0</v>
      </c>
      <c r="BM18" s="15"/>
      <c r="BN18" s="15"/>
    </row>
    <row r="19" spans="1:66" x14ac:dyDescent="0.25">
      <c r="A19" s="30" t="str">
        <f>$A$6&amp;IF(B19="","",COUNTA($B$9:B19)+100)</f>
        <v>SK-</v>
      </c>
      <c r="B19" s="15"/>
      <c r="C19" s="15"/>
      <c r="D19" s="15"/>
      <c r="E19" s="15"/>
      <c r="F19" s="15"/>
      <c r="G19" s="16"/>
      <c r="H19" s="16"/>
      <c r="I19" s="17"/>
      <c r="J19" s="15"/>
      <c r="K19" s="12" t="str">
        <f t="shared" si="2"/>
        <v xml:space="preserve"> </v>
      </c>
      <c r="L19" s="1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5">
        <f t="shared" si="3"/>
        <v>0</v>
      </c>
      <c r="AS19" s="15">
        <f t="shared" si="4"/>
        <v>0</v>
      </c>
      <c r="AT19" s="15">
        <f t="shared" si="5"/>
        <v>0</v>
      </c>
      <c r="AU19" s="15">
        <f t="shared" si="6"/>
        <v>0</v>
      </c>
      <c r="AV19" s="15">
        <f t="shared" si="7"/>
        <v>0</v>
      </c>
      <c r="AW19" s="15">
        <f t="shared" si="8"/>
        <v>0</v>
      </c>
      <c r="AX19" s="15">
        <f t="shared" si="9"/>
        <v>0</v>
      </c>
      <c r="AY19" s="15"/>
      <c r="AZ19" s="15">
        <f t="shared" si="10"/>
        <v>0</v>
      </c>
      <c r="BA19" s="15">
        <f t="shared" si="11"/>
        <v>0</v>
      </c>
      <c r="BB19" s="15">
        <f t="shared" si="12"/>
        <v>0</v>
      </c>
      <c r="BC19" s="15">
        <f t="shared" si="13"/>
        <v>0</v>
      </c>
      <c r="BD19" s="37">
        <f t="shared" si="14"/>
        <v>0</v>
      </c>
      <c r="BE19" s="15">
        <f t="shared" si="15"/>
        <v>0</v>
      </c>
      <c r="BF19" s="15">
        <f t="shared" si="16"/>
        <v>0</v>
      </c>
      <c r="BG19" s="41">
        <f t="shared" si="17"/>
        <v>0</v>
      </c>
      <c r="BH19" s="37">
        <f t="shared" si="18"/>
        <v>0</v>
      </c>
      <c r="BI19" s="1"/>
      <c r="BJ19" s="15"/>
      <c r="BK19" s="15">
        <f t="shared" si="19"/>
        <v>0</v>
      </c>
      <c r="BL19" s="37">
        <f t="shared" si="20"/>
        <v>0</v>
      </c>
      <c r="BM19" s="15"/>
      <c r="BN19" s="15"/>
    </row>
    <row r="20" spans="1:66" x14ac:dyDescent="0.25">
      <c r="A20" s="30" t="str">
        <f>$A$6&amp;IF(B20="","",COUNTA($B$9:B20)+100)</f>
        <v>SK-</v>
      </c>
      <c r="B20" s="15"/>
      <c r="C20" s="15"/>
      <c r="D20" s="15"/>
      <c r="E20" s="15"/>
      <c r="F20" s="15"/>
      <c r="G20" s="16"/>
      <c r="H20" s="16"/>
      <c r="I20" s="17"/>
      <c r="J20" s="15"/>
      <c r="K20" s="12" t="str">
        <f t="shared" si="2"/>
        <v xml:space="preserve"> </v>
      </c>
      <c r="L20" s="1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5">
        <f t="shared" si="3"/>
        <v>0</v>
      </c>
      <c r="AS20" s="15">
        <f t="shared" si="4"/>
        <v>0</v>
      </c>
      <c r="AT20" s="15">
        <f t="shared" si="5"/>
        <v>0</v>
      </c>
      <c r="AU20" s="15">
        <f t="shared" si="6"/>
        <v>0</v>
      </c>
      <c r="AV20" s="15">
        <f t="shared" si="7"/>
        <v>0</v>
      </c>
      <c r="AW20" s="15">
        <f t="shared" si="8"/>
        <v>0</v>
      </c>
      <c r="AX20" s="15">
        <f t="shared" si="9"/>
        <v>0</v>
      </c>
      <c r="AY20" s="15"/>
      <c r="AZ20" s="15">
        <f t="shared" si="10"/>
        <v>0</v>
      </c>
      <c r="BA20" s="15">
        <f t="shared" si="11"/>
        <v>0</v>
      </c>
      <c r="BB20" s="15">
        <f t="shared" si="12"/>
        <v>0</v>
      </c>
      <c r="BC20" s="15">
        <f t="shared" si="13"/>
        <v>0</v>
      </c>
      <c r="BD20" s="37">
        <f t="shared" si="14"/>
        <v>0</v>
      </c>
      <c r="BE20" s="15">
        <f t="shared" si="15"/>
        <v>0</v>
      </c>
      <c r="BF20" s="15">
        <f t="shared" si="16"/>
        <v>0</v>
      </c>
      <c r="BG20" s="41">
        <f t="shared" si="17"/>
        <v>0</v>
      </c>
      <c r="BH20" s="37">
        <f t="shared" si="18"/>
        <v>0</v>
      </c>
      <c r="BI20" s="1"/>
      <c r="BJ20" s="15"/>
      <c r="BK20" s="15">
        <f t="shared" si="19"/>
        <v>0</v>
      </c>
      <c r="BL20" s="37">
        <f t="shared" si="20"/>
        <v>0</v>
      </c>
      <c r="BM20" s="15"/>
      <c r="BN20" s="15"/>
    </row>
    <row r="21" spans="1:66" x14ac:dyDescent="0.25">
      <c r="A21" s="30" t="str">
        <f>$A$6&amp;IF(B21="","",COUNTA($B$9:B21)+100)</f>
        <v>SK-</v>
      </c>
      <c r="B21" s="15"/>
      <c r="C21" s="15"/>
      <c r="D21" s="15"/>
      <c r="E21" s="15"/>
      <c r="F21" s="15"/>
      <c r="G21" s="16"/>
      <c r="H21" s="16"/>
      <c r="I21" s="17"/>
      <c r="J21" s="15"/>
      <c r="K21" s="12" t="str">
        <f t="shared" si="2"/>
        <v xml:space="preserve"> </v>
      </c>
      <c r="L21" s="1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5">
        <f t="shared" si="3"/>
        <v>0</v>
      </c>
      <c r="AS21" s="15">
        <f t="shared" si="4"/>
        <v>0</v>
      </c>
      <c r="AT21" s="15">
        <f t="shared" si="5"/>
        <v>0</v>
      </c>
      <c r="AU21" s="15">
        <f t="shared" si="6"/>
        <v>0</v>
      </c>
      <c r="AV21" s="15">
        <f t="shared" si="7"/>
        <v>0</v>
      </c>
      <c r="AW21" s="15">
        <f t="shared" si="8"/>
        <v>0</v>
      </c>
      <c r="AX21" s="15">
        <f t="shared" si="9"/>
        <v>0</v>
      </c>
      <c r="AY21" s="15"/>
      <c r="AZ21" s="15">
        <f t="shared" si="10"/>
        <v>0</v>
      </c>
      <c r="BA21" s="15">
        <f t="shared" si="11"/>
        <v>0</v>
      </c>
      <c r="BB21" s="15">
        <f t="shared" si="12"/>
        <v>0</v>
      </c>
      <c r="BC21" s="15">
        <f t="shared" si="13"/>
        <v>0</v>
      </c>
      <c r="BD21" s="37">
        <f t="shared" si="14"/>
        <v>0</v>
      </c>
      <c r="BE21" s="15">
        <f t="shared" si="15"/>
        <v>0</v>
      </c>
      <c r="BF21" s="15">
        <f t="shared" si="16"/>
        <v>0</v>
      </c>
      <c r="BG21" s="41">
        <f t="shared" si="17"/>
        <v>0</v>
      </c>
      <c r="BH21" s="37">
        <f t="shared" si="18"/>
        <v>0</v>
      </c>
      <c r="BI21" s="1"/>
      <c r="BJ21" s="15"/>
      <c r="BK21" s="15">
        <f t="shared" si="19"/>
        <v>0</v>
      </c>
      <c r="BL21" s="37">
        <f t="shared" si="20"/>
        <v>0</v>
      </c>
      <c r="BM21" s="15"/>
      <c r="BN21" s="15"/>
    </row>
  </sheetData>
  <mergeCells count="3">
    <mergeCell ref="A1:AR2"/>
    <mergeCell ref="AZ6:BB6"/>
    <mergeCell ref="BE6:BG6"/>
  </mergeCells>
  <conditionalFormatting sqref="A9:A21">
    <cfRule type="expression" dxfId="77" priority="9">
      <formula>A9="SK-"</formula>
    </cfRule>
  </conditionalFormatting>
  <conditionalFormatting sqref="K9:K21">
    <cfRule type="expression" dxfId="76" priority="10">
      <formula>K9:K21="Emp. Resign this Company"</formula>
    </cfRule>
  </conditionalFormatting>
  <conditionalFormatting sqref="M9:AQ21">
    <cfRule type="expression" dxfId="75" priority="5">
      <formula>M9="P"</formula>
    </cfRule>
    <cfRule type="expression" dxfId="74" priority="6">
      <formula>M9="L"</formula>
    </cfRule>
    <cfRule type="expression" dxfId="73" priority="7">
      <formula>M9="H"</formula>
    </cfRule>
    <cfRule type="expression" dxfId="72" priority="8">
      <formula>M9="A"</formula>
    </cfRule>
    <cfRule type="expression" dxfId="71" priority="13">
      <formula>M$7="sun"</formula>
    </cfRule>
  </conditionalFormatting>
  <conditionalFormatting sqref="AO8">
    <cfRule type="expression" dxfId="70" priority="12">
      <formula>$AO$8=DATEVLUE(1/29/2024)</formula>
    </cfRule>
  </conditionalFormatting>
  <conditionalFormatting sqref="AP8">
    <cfRule type="expression" dxfId="69" priority="11">
      <formula>$AP$8=DATEVALUE("2/30/2024")</formula>
    </cfRule>
  </conditionalFormatting>
  <conditionalFormatting sqref="AR9:BL21">
    <cfRule type="expression" dxfId="68" priority="4">
      <formula>AR9=0</formula>
    </cfRule>
  </conditionalFormatting>
  <conditionalFormatting sqref="BM9:BN21">
    <cfRule type="expression" dxfId="67" priority="1">
      <formula>$BN9="Process"</formula>
    </cfRule>
    <cfRule type="expression" dxfId="66" priority="2">
      <formula>$BN9="Pending"</formula>
    </cfRule>
    <cfRule type="expression" dxfId="65" priority="3">
      <formula>$BN9="done"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'data sheet'!$D$2:$D$4</xm:f>
          </x14:formula1>
          <xm:sqref>BN9:BN21</xm:sqref>
        </x14:dataValidation>
        <x14:dataValidation type="list" allowBlank="1" showInputMessage="1" showErrorMessage="1">
          <x14:formula1>
            <xm:f>'data sheet'!$Q$1:$Q$12</xm:f>
          </x14:formula1>
          <xm:sqref>L5</xm:sqref>
        </x14:dataValidation>
        <x14:dataValidation type="list" allowBlank="1" showInputMessage="1" showErrorMessage="1">
          <x14:formula1>
            <xm:f>'data sheet'!$P$1:$P$99</xm:f>
          </x14:formula1>
          <xm:sqref>M5</xm:sqref>
        </x14:dataValidation>
        <x14:dataValidation type="list" allowBlank="1" showInputMessage="1" showErrorMessage="1">
          <x14:formula1>
            <xm:f>'data sheet'!$C$2:$C$9</xm:f>
          </x14:formula1>
          <xm:sqref>D9:D21</xm:sqref>
        </x14:dataValidation>
        <x14:dataValidation type="list" allowBlank="1" showInputMessage="1" showErrorMessage="1">
          <x14:formula1>
            <xm:f>'data sheet'!$B$2:$B$6</xm:f>
          </x14:formula1>
          <xm:sqref>C9:C21</xm:sqref>
        </x14:dataValidation>
        <x14:dataValidation type="list" allowBlank="1" showInputMessage="1" showErrorMessage="1">
          <x14:formula1>
            <xm:f>'data sheet'!$A$2:$A$14</xm:f>
          </x14:formula1>
          <xm:sqref>B9:B21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21"/>
  <sheetViews>
    <sheetView zoomScale="115" zoomScaleNormal="115" workbookViewId="0">
      <selection sqref="A1:AR2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5.85546875" bestFit="1" customWidth="1"/>
    <col min="4" max="4" width="4.85546875" bestFit="1" customWidth="1"/>
    <col min="5" max="5" width="7.7109375" bestFit="1" customWidth="1"/>
    <col min="6" max="6" width="7.140625" bestFit="1" customWidth="1"/>
    <col min="7" max="7" width="7.28515625" bestFit="1" customWidth="1"/>
    <col min="9" max="9" width="9" bestFit="1" customWidth="1"/>
    <col min="10" max="10" width="9.7109375" bestFit="1" customWidth="1"/>
    <col min="11" max="11" width="11.42578125" bestFit="1" customWidth="1"/>
    <col min="12" max="12" width="7" bestFit="1" customWidth="1"/>
    <col min="13" max="43" width="10.42578125" bestFit="1" customWidth="1"/>
    <col min="44" max="44" width="9.85546875" bestFit="1" customWidth="1"/>
    <col min="45" max="45" width="7.85546875" bestFit="1" customWidth="1"/>
    <col min="46" max="46" width="7.28515625" bestFit="1" customWidth="1"/>
    <col min="47" max="47" width="6.140625" bestFit="1" customWidth="1"/>
    <col min="48" max="48" width="7.42578125" bestFit="1" customWidth="1"/>
    <col min="49" max="49" width="8.140625" bestFit="1" customWidth="1"/>
    <col min="50" max="50" width="12.7109375" bestFit="1" customWidth="1"/>
    <col min="51" max="51" width="11.140625" bestFit="1" customWidth="1"/>
    <col min="52" max="52" width="19.7109375" bestFit="1" customWidth="1"/>
    <col min="53" max="53" width="21.85546875" bestFit="1" customWidth="1"/>
    <col min="54" max="54" width="22" bestFit="1" customWidth="1"/>
    <col min="55" max="55" width="27.5703125" bestFit="1" customWidth="1"/>
    <col min="56" max="56" width="8.7109375" bestFit="1" customWidth="1"/>
    <col min="57" max="57" width="4.5703125" bestFit="1" customWidth="1"/>
    <col min="58" max="58" width="4.7109375" bestFit="1" customWidth="1"/>
    <col min="59" max="59" width="22.42578125" bestFit="1" customWidth="1"/>
    <col min="60" max="60" width="11.7109375" bestFit="1" customWidth="1"/>
    <col min="61" max="61" width="8.5703125" bestFit="1" customWidth="1"/>
    <col min="62" max="62" width="14.28515625" bestFit="1" customWidth="1"/>
    <col min="63" max="64" width="10" bestFit="1" customWidth="1"/>
    <col min="65" max="65" width="15.85546875" bestFit="1" customWidth="1"/>
    <col min="66" max="66" width="6.42578125" bestFit="1" customWidth="1"/>
  </cols>
  <sheetData>
    <row r="1" spans="1:66" ht="30" customHeight="1" x14ac:dyDescent="0.25">
      <c r="A1" s="49" t="str">
        <f>"Attendance for"&amp;" "&amp;TEXT(P4,"mmmm yyyy")&amp;" "&amp;"Month"</f>
        <v>Attendance for August 2025 Month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BB1" s="15"/>
      <c r="BC1" s="42">
        <f>$AY$9/30</f>
        <v>0</v>
      </c>
      <c r="BD1" s="39">
        <f>BC1*30</f>
        <v>0</v>
      </c>
      <c r="BE1" s="39"/>
      <c r="BF1" s="39"/>
    </row>
    <row r="2" spans="1:66" ht="30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X2" s="23" t="s">
        <v>87</v>
      </c>
      <c r="AY2" s="24" t="s">
        <v>40</v>
      </c>
      <c r="AZ2" s="36" t="s">
        <v>70</v>
      </c>
      <c r="BA2" s="36" t="s">
        <v>71</v>
      </c>
      <c r="BB2" s="31" t="s">
        <v>67</v>
      </c>
      <c r="BC2" s="35" t="s">
        <v>68</v>
      </c>
      <c r="BD2" s="32" t="s">
        <v>89</v>
      </c>
      <c r="BE2" s="39"/>
      <c r="BF2" s="39">
        <f>AX9*BC1</f>
        <v>0</v>
      </c>
    </row>
    <row r="3" spans="1:66" x14ac:dyDescent="0.25">
      <c r="AX3" s="37">
        <f>$BC$1*$AV$9</f>
        <v>0</v>
      </c>
      <c r="AY3" s="37">
        <f>$BC$1*$AW$9/2</f>
        <v>0</v>
      </c>
      <c r="AZ3" s="37">
        <f>$BC$1*$AU$9/2</f>
        <v>0</v>
      </c>
      <c r="BA3" s="37">
        <f>$BC$1/8*$BJ$9</f>
        <v>0</v>
      </c>
      <c r="BB3" s="37">
        <f>$BC$1*$AT$9</f>
        <v>0</v>
      </c>
      <c r="BC3" s="15">
        <f>$BC$1*$AS$9</f>
        <v>0</v>
      </c>
      <c r="BD3" s="40">
        <f>(AX3)+(AY3)+(AZ3)+(BC3)</f>
        <v>0</v>
      </c>
      <c r="BE3" s="39"/>
      <c r="BF3" s="39"/>
    </row>
    <row r="4" spans="1:66" x14ac:dyDescent="0.25">
      <c r="L4" s="34" t="s">
        <v>14</v>
      </c>
      <c r="M4" s="34" t="s">
        <v>15</v>
      </c>
      <c r="O4" s="34" t="s">
        <v>0</v>
      </c>
      <c r="P4" s="3">
        <f>DATEVALUE("1"&amp;L5&amp;M5)</f>
        <v>45870</v>
      </c>
      <c r="AX4" s="15"/>
      <c r="AY4" s="15"/>
      <c r="AZ4" s="15"/>
      <c r="BA4" s="15"/>
      <c r="BB4" s="15"/>
      <c r="BC4" s="15"/>
      <c r="BD4" s="32"/>
      <c r="BE4" s="39"/>
      <c r="BF4" s="39"/>
    </row>
    <row r="5" spans="1:66" x14ac:dyDescent="0.25">
      <c r="L5" s="2" t="s">
        <v>9</v>
      </c>
      <c r="M5" s="2">
        <v>2025</v>
      </c>
      <c r="O5" s="34" t="s">
        <v>1</v>
      </c>
      <c r="P5" s="3">
        <f>EOMONTH(P4,0)</f>
        <v>45900</v>
      </c>
      <c r="AX5" s="10"/>
      <c r="AY5" s="10"/>
      <c r="AZ5" s="10"/>
      <c r="BA5" s="10"/>
      <c r="BB5" s="10"/>
      <c r="BC5" s="38"/>
      <c r="BD5" s="10"/>
      <c r="BI5" s="11"/>
      <c r="BJ5" s="11"/>
      <c r="BL5" s="11"/>
    </row>
    <row r="6" spans="1:66" x14ac:dyDescent="0.25">
      <c r="A6" s="32" t="s">
        <v>86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2"/>
      <c r="P6" s="13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X6" s="10"/>
      <c r="AZ6" s="48" t="s">
        <v>44</v>
      </c>
      <c r="BA6" s="48"/>
      <c r="BB6" s="48"/>
      <c r="BE6" s="51" t="s">
        <v>45</v>
      </c>
      <c r="BF6" s="51"/>
      <c r="BG6" s="52"/>
    </row>
    <row r="7" spans="1:6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8" t="str">
        <f t="shared" ref="M7:AQ7" si="0">TEXT(M8,"Ddd")</f>
        <v>Fri</v>
      </c>
      <c r="N7" s="8" t="str">
        <f t="shared" si="0"/>
        <v>Sat</v>
      </c>
      <c r="O7" s="8" t="str">
        <f t="shared" si="0"/>
        <v>Sun</v>
      </c>
      <c r="P7" s="8" t="str">
        <f t="shared" si="0"/>
        <v>Mon</v>
      </c>
      <c r="Q7" s="8" t="str">
        <f t="shared" si="0"/>
        <v>Tue</v>
      </c>
      <c r="R7" s="8" t="str">
        <f t="shared" si="0"/>
        <v>Wed</v>
      </c>
      <c r="S7" s="8" t="str">
        <f t="shared" si="0"/>
        <v>Thu</v>
      </c>
      <c r="T7" s="8" t="str">
        <f t="shared" si="0"/>
        <v>Fri</v>
      </c>
      <c r="U7" s="8" t="str">
        <f t="shared" si="0"/>
        <v>Sat</v>
      </c>
      <c r="V7" s="8" t="str">
        <f t="shared" si="0"/>
        <v>Sun</v>
      </c>
      <c r="W7" s="8" t="str">
        <f t="shared" si="0"/>
        <v>Mon</v>
      </c>
      <c r="X7" s="8" t="str">
        <f t="shared" si="0"/>
        <v>Tue</v>
      </c>
      <c r="Y7" s="8" t="str">
        <f t="shared" si="0"/>
        <v>Wed</v>
      </c>
      <c r="Z7" s="8" t="str">
        <f t="shared" si="0"/>
        <v>Thu</v>
      </c>
      <c r="AA7" s="8" t="str">
        <f t="shared" si="0"/>
        <v>Fri</v>
      </c>
      <c r="AB7" s="8" t="str">
        <f t="shared" si="0"/>
        <v>Sat</v>
      </c>
      <c r="AC7" s="8" t="str">
        <f t="shared" si="0"/>
        <v>Sun</v>
      </c>
      <c r="AD7" s="8" t="str">
        <f t="shared" si="0"/>
        <v>Mon</v>
      </c>
      <c r="AE7" s="8" t="str">
        <f t="shared" si="0"/>
        <v>Tue</v>
      </c>
      <c r="AF7" s="8" t="str">
        <f t="shared" si="0"/>
        <v>Wed</v>
      </c>
      <c r="AG7" s="8" t="str">
        <f t="shared" si="0"/>
        <v>Thu</v>
      </c>
      <c r="AH7" s="8" t="str">
        <f t="shared" si="0"/>
        <v>Fri</v>
      </c>
      <c r="AI7" s="8" t="str">
        <f t="shared" si="0"/>
        <v>Sat</v>
      </c>
      <c r="AJ7" s="8" t="str">
        <f t="shared" si="0"/>
        <v>Sun</v>
      </c>
      <c r="AK7" s="8" t="str">
        <f t="shared" si="0"/>
        <v>Mon</v>
      </c>
      <c r="AL7" s="8" t="str">
        <f t="shared" si="0"/>
        <v>Tue</v>
      </c>
      <c r="AM7" s="8" t="str">
        <f t="shared" si="0"/>
        <v>Wed</v>
      </c>
      <c r="AN7" s="8" t="str">
        <f t="shared" si="0"/>
        <v>Thu</v>
      </c>
      <c r="AO7" s="8" t="str">
        <f t="shared" si="0"/>
        <v>Fri</v>
      </c>
      <c r="AP7" s="8" t="str">
        <f t="shared" si="0"/>
        <v>Sat</v>
      </c>
      <c r="AQ7" s="8" t="str">
        <f t="shared" si="0"/>
        <v>Sun</v>
      </c>
      <c r="AX7" s="10"/>
      <c r="AY7" s="10"/>
      <c r="AZ7" s="28">
        <v>0.03</v>
      </c>
      <c r="BA7" s="28">
        <v>0.05</v>
      </c>
      <c r="BB7" s="28">
        <v>7.0000000000000007E-2</v>
      </c>
      <c r="BC7" s="10"/>
      <c r="BE7" s="29">
        <v>0.12</v>
      </c>
      <c r="BF7" s="29">
        <v>0.02</v>
      </c>
      <c r="BH7" s="10"/>
      <c r="BM7" s="10"/>
      <c r="BN7" s="10"/>
    </row>
    <row r="8" spans="1:66" x14ac:dyDescent="0.25">
      <c r="A8" s="14" t="s">
        <v>16</v>
      </c>
      <c r="B8" s="14" t="s">
        <v>17</v>
      </c>
      <c r="C8" s="14" t="s">
        <v>58</v>
      </c>
      <c r="D8" s="14" t="s">
        <v>59</v>
      </c>
      <c r="E8" s="14" t="s">
        <v>60</v>
      </c>
      <c r="F8" s="14" t="s">
        <v>61</v>
      </c>
      <c r="G8" s="14" t="s">
        <v>18</v>
      </c>
      <c r="H8" s="14" t="s">
        <v>41</v>
      </c>
      <c r="I8" s="14" t="s">
        <v>64</v>
      </c>
      <c r="J8" s="14" t="s">
        <v>63</v>
      </c>
      <c r="K8" s="14" t="s">
        <v>65</v>
      </c>
      <c r="L8" s="14" t="s">
        <v>20</v>
      </c>
      <c r="M8" s="46">
        <f>P4</f>
        <v>45870</v>
      </c>
      <c r="N8" s="46">
        <f t="shared" ref="N8:AM8" si="1">M8+1</f>
        <v>45871</v>
      </c>
      <c r="O8" s="46">
        <f t="shared" si="1"/>
        <v>45872</v>
      </c>
      <c r="P8" s="46">
        <f t="shared" si="1"/>
        <v>45873</v>
      </c>
      <c r="Q8" s="46">
        <f t="shared" si="1"/>
        <v>45874</v>
      </c>
      <c r="R8" s="46">
        <f t="shared" si="1"/>
        <v>45875</v>
      </c>
      <c r="S8" s="46">
        <f t="shared" si="1"/>
        <v>45876</v>
      </c>
      <c r="T8" s="46">
        <f t="shared" si="1"/>
        <v>45877</v>
      </c>
      <c r="U8" s="46">
        <f t="shared" si="1"/>
        <v>45878</v>
      </c>
      <c r="V8" s="46">
        <f t="shared" si="1"/>
        <v>45879</v>
      </c>
      <c r="W8" s="46">
        <f t="shared" si="1"/>
        <v>45880</v>
      </c>
      <c r="X8" s="46">
        <f t="shared" si="1"/>
        <v>45881</v>
      </c>
      <c r="Y8" s="46">
        <f t="shared" si="1"/>
        <v>45882</v>
      </c>
      <c r="Z8" s="46">
        <f t="shared" si="1"/>
        <v>45883</v>
      </c>
      <c r="AA8" s="46">
        <f t="shared" si="1"/>
        <v>45884</v>
      </c>
      <c r="AB8" s="46">
        <f t="shared" si="1"/>
        <v>45885</v>
      </c>
      <c r="AC8" s="46">
        <f t="shared" si="1"/>
        <v>45886</v>
      </c>
      <c r="AD8" s="46">
        <f t="shared" si="1"/>
        <v>45887</v>
      </c>
      <c r="AE8" s="46">
        <f t="shared" si="1"/>
        <v>45888</v>
      </c>
      <c r="AF8" s="46">
        <f t="shared" si="1"/>
        <v>45889</v>
      </c>
      <c r="AG8" s="46">
        <f t="shared" si="1"/>
        <v>45890</v>
      </c>
      <c r="AH8" s="46">
        <f t="shared" si="1"/>
        <v>45891</v>
      </c>
      <c r="AI8" s="46">
        <f t="shared" si="1"/>
        <v>45892</v>
      </c>
      <c r="AJ8" s="46">
        <f t="shared" si="1"/>
        <v>45893</v>
      </c>
      <c r="AK8" s="46">
        <f t="shared" si="1"/>
        <v>45894</v>
      </c>
      <c r="AL8" s="46">
        <f t="shared" si="1"/>
        <v>45895</v>
      </c>
      <c r="AM8" s="46">
        <f t="shared" si="1"/>
        <v>45896</v>
      </c>
      <c r="AN8" s="46">
        <f>IF(AM8&lt;$P$5,AM8+1," ")</f>
        <v>45897</v>
      </c>
      <c r="AO8" s="46">
        <f>IF(AN8&lt;$P$5,AN8+1," ")</f>
        <v>45898</v>
      </c>
      <c r="AP8" s="46">
        <f>IF(AO8&lt;$P$5,AO8+1," ")</f>
        <v>45899</v>
      </c>
      <c r="AQ8" s="46">
        <f>IF(AP8&lt;$P$5,AP8+1," ")</f>
        <v>45900</v>
      </c>
      <c r="AR8" s="21" t="s">
        <v>42</v>
      </c>
      <c r="AS8" s="18" t="s">
        <v>25</v>
      </c>
      <c r="AT8" s="22" t="s">
        <v>38</v>
      </c>
      <c r="AU8" s="23" t="s">
        <v>39</v>
      </c>
      <c r="AV8" s="23" t="s">
        <v>87</v>
      </c>
      <c r="AW8" s="24" t="s">
        <v>40</v>
      </c>
      <c r="AX8" s="25" t="s">
        <v>43</v>
      </c>
      <c r="AY8" s="4" t="s">
        <v>46</v>
      </c>
      <c r="AZ8" s="4" t="s">
        <v>49</v>
      </c>
      <c r="BA8" s="26" t="s">
        <v>50</v>
      </c>
      <c r="BB8" s="8" t="s">
        <v>51</v>
      </c>
      <c r="BC8" s="27" t="s">
        <v>52</v>
      </c>
      <c r="BD8" s="20" t="s">
        <v>53</v>
      </c>
      <c r="BE8" s="7" t="s">
        <v>54</v>
      </c>
      <c r="BF8" s="9" t="s">
        <v>69</v>
      </c>
      <c r="BG8" s="45" t="s">
        <v>95</v>
      </c>
      <c r="BH8" s="27" t="s">
        <v>55</v>
      </c>
      <c r="BI8" s="7" t="s">
        <v>48</v>
      </c>
      <c r="BJ8" s="5" t="s">
        <v>62</v>
      </c>
      <c r="BK8" s="6" t="s">
        <v>47</v>
      </c>
      <c r="BL8" s="19" t="s">
        <v>56</v>
      </c>
      <c r="BM8" s="20" t="s">
        <v>57</v>
      </c>
      <c r="BN8" s="44" t="s">
        <v>91</v>
      </c>
    </row>
    <row r="9" spans="1:66" x14ac:dyDescent="0.25">
      <c r="A9" s="30" t="str">
        <f>$A$6&amp;IF(B9="","",COUNTA($B$9:B9)+100)</f>
        <v>SK-</v>
      </c>
      <c r="B9" s="15"/>
      <c r="C9" s="15"/>
      <c r="D9" s="15"/>
      <c r="E9" s="15"/>
      <c r="F9" s="15"/>
      <c r="G9" s="16"/>
      <c r="H9" s="16"/>
      <c r="I9" s="17"/>
      <c r="J9" s="17"/>
      <c r="K9" s="12" t="str">
        <f>IF($J9=""," ","Emp. Resign this Company")</f>
        <v xml:space="preserve"> </v>
      </c>
      <c r="L9" s="1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5">
        <f>COUNTA(M9:AQ9)</f>
        <v>0</v>
      </c>
      <c r="AS9" s="15">
        <f>COUNTIF(M9:AQ9,"P")</f>
        <v>0</v>
      </c>
      <c r="AT9" s="15">
        <f>COUNTIF(M9:AQ9,"A")</f>
        <v>0</v>
      </c>
      <c r="AU9" s="15">
        <f>COUNTIF(M9:AQ9,"L")</f>
        <v>0</v>
      </c>
      <c r="AV9" s="15">
        <f>COUNTIF(M9:AQ9,"SUN")</f>
        <v>0</v>
      </c>
      <c r="AW9" s="15">
        <f>COUNTIF(M9:AQ9,"H")</f>
        <v>0</v>
      </c>
      <c r="AX9" s="15">
        <f>($AR9-$AT9)-($AW9/2)-($AU9/2)</f>
        <v>0</v>
      </c>
      <c r="AY9" s="15"/>
      <c r="AZ9" s="15">
        <f>$AY9*$AZ$7</f>
        <v>0</v>
      </c>
      <c r="BA9" s="15">
        <f>$AY9*$BA$7</f>
        <v>0</v>
      </c>
      <c r="BB9" s="15">
        <f>$AY9*$BB$7</f>
        <v>0</v>
      </c>
      <c r="BC9" s="15">
        <f>$AZ9+$BA9+$BB9</f>
        <v>0</v>
      </c>
      <c r="BD9" s="37">
        <f>($AY9+$BC9)</f>
        <v>0</v>
      </c>
      <c r="BE9" s="15">
        <f>$AY9*$BE$7</f>
        <v>0</v>
      </c>
      <c r="BF9" s="15">
        <f>$AY9*$BF$7</f>
        <v>0</v>
      </c>
      <c r="BG9" s="41">
        <f>$BC$1*$AT9</f>
        <v>0</v>
      </c>
      <c r="BH9" s="37">
        <f>$BE9+$BF9+$BG9</f>
        <v>0</v>
      </c>
      <c r="BI9" s="1"/>
      <c r="BJ9" s="15"/>
      <c r="BK9" s="15">
        <f>IF($BA$4="",$AY9/30/8*$BJ9,$BA4*$BJ9)</f>
        <v>0</v>
      </c>
      <c r="BL9" s="37">
        <f>($BD9-$BH9)-$BI9</f>
        <v>0</v>
      </c>
      <c r="BM9" s="17"/>
      <c r="BN9" s="15"/>
    </row>
    <row r="10" spans="1:66" x14ac:dyDescent="0.25">
      <c r="A10" s="30" t="str">
        <f>$A$6&amp;IF(B10="","",COUNTA($B$9:B10)+100)</f>
        <v>SK-</v>
      </c>
      <c r="B10" s="15"/>
      <c r="C10" s="15"/>
      <c r="D10" s="15"/>
      <c r="E10" s="15"/>
      <c r="F10" s="15"/>
      <c r="G10" s="16"/>
      <c r="H10" s="16"/>
      <c r="I10" s="17"/>
      <c r="J10" s="17"/>
      <c r="K10" s="12" t="str">
        <f t="shared" ref="K10:K21" si="2">IF($J10=""," ","Emp. Resign this Company")</f>
        <v xml:space="preserve"> </v>
      </c>
      <c r="L10" s="1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5">
        <f t="shared" ref="AR10:AR21" si="3">COUNTA(M10:AQ10)</f>
        <v>0</v>
      </c>
      <c r="AS10" s="15">
        <f t="shared" ref="AS10:AS21" si="4">COUNTIF(M10:AQ10,"P")</f>
        <v>0</v>
      </c>
      <c r="AT10" s="15">
        <f t="shared" ref="AT10:AT21" si="5">COUNTIF(M10:AQ10,"A")</f>
        <v>0</v>
      </c>
      <c r="AU10" s="15">
        <f t="shared" ref="AU10:AU21" si="6">COUNTIF(M10:AQ10,"L")</f>
        <v>0</v>
      </c>
      <c r="AV10" s="15">
        <f t="shared" ref="AV10:AV21" si="7">COUNTIF(M10:AQ10,"SUN")</f>
        <v>0</v>
      </c>
      <c r="AW10" s="15">
        <f t="shared" ref="AW10:AW21" si="8">COUNTIF(M10:AQ10,"H")</f>
        <v>0</v>
      </c>
      <c r="AX10" s="15">
        <f t="shared" ref="AX10:AX21" si="9">($AR10-$AT10)-($AW10/2)-($AU10/2)</f>
        <v>0</v>
      </c>
      <c r="AY10" s="15"/>
      <c r="AZ10" s="15">
        <f t="shared" ref="AZ10:AZ21" si="10">$AY10*$AZ$7</f>
        <v>0</v>
      </c>
      <c r="BA10" s="15">
        <f t="shared" ref="BA10:BA21" si="11">$AY10*$BA$7</f>
        <v>0</v>
      </c>
      <c r="BB10" s="15">
        <f t="shared" ref="BB10:BB21" si="12">$AY10*$BB$7</f>
        <v>0</v>
      </c>
      <c r="BC10" s="15">
        <f t="shared" ref="BC10:BC21" si="13">$AZ10+$BA10+$BB10</f>
        <v>0</v>
      </c>
      <c r="BD10" s="37">
        <f t="shared" ref="BD10:BD21" si="14">($AY10+$BC10)</f>
        <v>0</v>
      </c>
      <c r="BE10" s="15">
        <f t="shared" ref="BE10:BE21" si="15">$AY10*$BE$7</f>
        <v>0</v>
      </c>
      <c r="BF10" s="15">
        <f t="shared" ref="BF10:BF21" si="16">$AY10*$BF$7</f>
        <v>0</v>
      </c>
      <c r="BG10" s="41">
        <f t="shared" ref="BG10:BG21" si="17">$BC$1*$AT10</f>
        <v>0</v>
      </c>
      <c r="BH10" s="37">
        <f t="shared" ref="BH10:BH21" si="18">$BE10+$BF10+$BG10</f>
        <v>0</v>
      </c>
      <c r="BI10" s="1"/>
      <c r="BJ10" s="15"/>
      <c r="BK10" s="15">
        <f t="shared" ref="BK10:BK21" si="19">IF($BA$4="",$AY10/30/8*$BJ10,$BA5*$BJ10)</f>
        <v>0</v>
      </c>
      <c r="BL10" s="37">
        <f t="shared" ref="BL10:BL21" si="20">($BD10-$BH10)-$BI10</f>
        <v>0</v>
      </c>
      <c r="BM10" s="15"/>
      <c r="BN10" s="15"/>
    </row>
    <row r="11" spans="1:66" x14ac:dyDescent="0.25">
      <c r="A11" s="30" t="str">
        <f>$A$6&amp;IF(B11="","",COUNTA($B$9:B11)+100)</f>
        <v>SK-</v>
      </c>
      <c r="B11" s="15"/>
      <c r="C11" s="15"/>
      <c r="D11" s="15"/>
      <c r="E11" s="15"/>
      <c r="F11" s="15"/>
      <c r="G11" s="16"/>
      <c r="H11" s="16"/>
      <c r="I11" s="17"/>
      <c r="J11" s="15"/>
      <c r="K11" s="12" t="str">
        <f t="shared" si="2"/>
        <v xml:space="preserve"> </v>
      </c>
      <c r="L11" s="1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5">
        <f t="shared" si="3"/>
        <v>0</v>
      </c>
      <c r="AS11" s="15">
        <f t="shared" si="4"/>
        <v>0</v>
      </c>
      <c r="AT11" s="15">
        <f t="shared" si="5"/>
        <v>0</v>
      </c>
      <c r="AU11" s="15">
        <f t="shared" si="6"/>
        <v>0</v>
      </c>
      <c r="AV11" s="15">
        <f t="shared" si="7"/>
        <v>0</v>
      </c>
      <c r="AW11" s="15">
        <f t="shared" si="8"/>
        <v>0</v>
      </c>
      <c r="AX11" s="15">
        <f t="shared" si="9"/>
        <v>0</v>
      </c>
      <c r="AY11" s="15"/>
      <c r="AZ11" s="15">
        <f t="shared" si="10"/>
        <v>0</v>
      </c>
      <c r="BA11" s="15">
        <f t="shared" si="11"/>
        <v>0</v>
      </c>
      <c r="BB11" s="15">
        <f t="shared" si="12"/>
        <v>0</v>
      </c>
      <c r="BC11" s="15">
        <f t="shared" si="13"/>
        <v>0</v>
      </c>
      <c r="BD11" s="37">
        <f t="shared" si="14"/>
        <v>0</v>
      </c>
      <c r="BE11" s="15">
        <f t="shared" si="15"/>
        <v>0</v>
      </c>
      <c r="BF11" s="15">
        <f t="shared" si="16"/>
        <v>0</v>
      </c>
      <c r="BG11" s="41">
        <f t="shared" si="17"/>
        <v>0</v>
      </c>
      <c r="BH11" s="37">
        <f t="shared" si="18"/>
        <v>0</v>
      </c>
      <c r="BI11" s="1"/>
      <c r="BJ11" s="15"/>
      <c r="BK11" s="15">
        <f t="shared" si="19"/>
        <v>0</v>
      </c>
      <c r="BL11" s="37">
        <f t="shared" si="20"/>
        <v>0</v>
      </c>
      <c r="BM11" s="15"/>
      <c r="BN11" s="15"/>
    </row>
    <row r="12" spans="1:66" x14ac:dyDescent="0.25">
      <c r="A12" s="30" t="str">
        <f>$A$6&amp;IF(B12="","",COUNTA($B$9:B12)+100)</f>
        <v>SK-</v>
      </c>
      <c r="B12" s="15"/>
      <c r="C12" s="15"/>
      <c r="D12" s="15"/>
      <c r="E12" s="15"/>
      <c r="F12" s="15"/>
      <c r="G12" s="16"/>
      <c r="H12" s="16"/>
      <c r="I12" s="17"/>
      <c r="J12" s="15"/>
      <c r="K12" s="12" t="str">
        <f t="shared" si="2"/>
        <v xml:space="preserve"> </v>
      </c>
      <c r="L12" s="1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5">
        <f t="shared" si="3"/>
        <v>0</v>
      </c>
      <c r="AS12" s="15">
        <f t="shared" si="4"/>
        <v>0</v>
      </c>
      <c r="AT12" s="15">
        <f t="shared" si="5"/>
        <v>0</v>
      </c>
      <c r="AU12" s="15">
        <f t="shared" si="6"/>
        <v>0</v>
      </c>
      <c r="AV12" s="15">
        <f t="shared" si="7"/>
        <v>0</v>
      </c>
      <c r="AW12" s="15">
        <f>COUNTIF(M12:AQ12,"H")</f>
        <v>0</v>
      </c>
      <c r="AX12" s="15">
        <f t="shared" si="9"/>
        <v>0</v>
      </c>
      <c r="AY12" s="15"/>
      <c r="AZ12" s="15">
        <f t="shared" si="10"/>
        <v>0</v>
      </c>
      <c r="BA12" s="15">
        <f t="shared" si="11"/>
        <v>0</v>
      </c>
      <c r="BB12" s="15">
        <f t="shared" si="12"/>
        <v>0</v>
      </c>
      <c r="BC12" s="15">
        <f t="shared" si="13"/>
        <v>0</v>
      </c>
      <c r="BD12" s="37">
        <f t="shared" si="14"/>
        <v>0</v>
      </c>
      <c r="BE12" s="15">
        <f t="shared" si="15"/>
        <v>0</v>
      </c>
      <c r="BF12" s="15">
        <f t="shared" si="16"/>
        <v>0</v>
      </c>
      <c r="BG12" s="41">
        <f t="shared" si="17"/>
        <v>0</v>
      </c>
      <c r="BH12" s="37">
        <f t="shared" si="18"/>
        <v>0</v>
      </c>
      <c r="BI12" s="1"/>
      <c r="BJ12" s="15"/>
      <c r="BK12" s="15">
        <f t="shared" si="19"/>
        <v>0</v>
      </c>
      <c r="BL12" s="37">
        <f t="shared" si="20"/>
        <v>0</v>
      </c>
      <c r="BM12" s="15"/>
      <c r="BN12" s="15"/>
    </row>
    <row r="13" spans="1:66" x14ac:dyDescent="0.25">
      <c r="A13" s="30" t="str">
        <f>$A$6&amp;IF(B13="","",COUNTA($B$9:B13)+100)</f>
        <v>SK-</v>
      </c>
      <c r="B13" s="15"/>
      <c r="C13" s="15"/>
      <c r="D13" s="15"/>
      <c r="E13" s="15"/>
      <c r="F13" s="15"/>
      <c r="G13" s="16"/>
      <c r="H13" s="16"/>
      <c r="I13" s="17"/>
      <c r="J13" s="17"/>
      <c r="K13" s="12" t="str">
        <f t="shared" si="2"/>
        <v xml:space="preserve"> </v>
      </c>
      <c r="L13" s="1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5">
        <f t="shared" si="3"/>
        <v>0</v>
      </c>
      <c r="AS13" s="15">
        <f t="shared" si="4"/>
        <v>0</v>
      </c>
      <c r="AT13" s="15">
        <f t="shared" si="5"/>
        <v>0</v>
      </c>
      <c r="AU13" s="15">
        <f t="shared" si="6"/>
        <v>0</v>
      </c>
      <c r="AV13" s="15">
        <f t="shared" si="7"/>
        <v>0</v>
      </c>
      <c r="AW13" s="15">
        <f t="shared" si="8"/>
        <v>0</v>
      </c>
      <c r="AX13" s="15">
        <f t="shared" si="9"/>
        <v>0</v>
      </c>
      <c r="AY13" s="15"/>
      <c r="AZ13" s="15">
        <f t="shared" si="10"/>
        <v>0</v>
      </c>
      <c r="BA13" s="15">
        <f t="shared" si="11"/>
        <v>0</v>
      </c>
      <c r="BB13" s="15">
        <f t="shared" si="12"/>
        <v>0</v>
      </c>
      <c r="BC13" s="15">
        <f t="shared" si="13"/>
        <v>0</v>
      </c>
      <c r="BD13" s="37">
        <f t="shared" si="14"/>
        <v>0</v>
      </c>
      <c r="BE13" s="15">
        <f t="shared" si="15"/>
        <v>0</v>
      </c>
      <c r="BF13" s="15">
        <f t="shared" si="16"/>
        <v>0</v>
      </c>
      <c r="BG13" s="41">
        <f t="shared" si="17"/>
        <v>0</v>
      </c>
      <c r="BH13" s="37">
        <f t="shared" si="18"/>
        <v>0</v>
      </c>
      <c r="BI13" s="1"/>
      <c r="BJ13" s="15"/>
      <c r="BK13" s="15">
        <f t="shared" si="19"/>
        <v>0</v>
      </c>
      <c r="BL13" s="37">
        <f t="shared" si="20"/>
        <v>0</v>
      </c>
      <c r="BM13" s="15"/>
      <c r="BN13" s="15"/>
    </row>
    <row r="14" spans="1:66" x14ac:dyDescent="0.25">
      <c r="A14" s="30" t="str">
        <f>$A$6&amp;IF(B14="","",COUNTA($B$9:B14)+100)</f>
        <v>SK-</v>
      </c>
      <c r="B14" s="15"/>
      <c r="C14" s="15"/>
      <c r="D14" s="15"/>
      <c r="E14" s="15"/>
      <c r="F14" s="15"/>
      <c r="G14" s="16"/>
      <c r="H14" s="16"/>
      <c r="I14" s="17"/>
      <c r="J14" s="15"/>
      <c r="K14" s="12" t="str">
        <f t="shared" si="2"/>
        <v xml:space="preserve"> </v>
      </c>
      <c r="L14" s="1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5">
        <f t="shared" si="3"/>
        <v>0</v>
      </c>
      <c r="AS14" s="15">
        <f t="shared" si="4"/>
        <v>0</v>
      </c>
      <c r="AT14" s="15">
        <f t="shared" si="5"/>
        <v>0</v>
      </c>
      <c r="AU14" s="15">
        <f t="shared" si="6"/>
        <v>0</v>
      </c>
      <c r="AV14" s="15">
        <f t="shared" si="7"/>
        <v>0</v>
      </c>
      <c r="AW14" s="15">
        <f t="shared" si="8"/>
        <v>0</v>
      </c>
      <c r="AX14" s="15">
        <f t="shared" si="9"/>
        <v>0</v>
      </c>
      <c r="AY14" s="15"/>
      <c r="AZ14" s="15">
        <f t="shared" si="10"/>
        <v>0</v>
      </c>
      <c r="BA14" s="15">
        <f t="shared" si="11"/>
        <v>0</v>
      </c>
      <c r="BB14" s="15">
        <f t="shared" si="12"/>
        <v>0</v>
      </c>
      <c r="BC14" s="15">
        <f t="shared" si="13"/>
        <v>0</v>
      </c>
      <c r="BD14" s="37">
        <f t="shared" si="14"/>
        <v>0</v>
      </c>
      <c r="BE14" s="15">
        <f t="shared" si="15"/>
        <v>0</v>
      </c>
      <c r="BF14" s="15">
        <f t="shared" si="16"/>
        <v>0</v>
      </c>
      <c r="BG14" s="41">
        <f t="shared" si="17"/>
        <v>0</v>
      </c>
      <c r="BH14" s="37">
        <f t="shared" si="18"/>
        <v>0</v>
      </c>
      <c r="BI14" s="1"/>
      <c r="BJ14" s="15"/>
      <c r="BK14" s="15">
        <f t="shared" si="19"/>
        <v>0</v>
      </c>
      <c r="BL14" s="37">
        <f t="shared" si="20"/>
        <v>0</v>
      </c>
      <c r="BM14" s="15"/>
      <c r="BN14" s="15"/>
    </row>
    <row r="15" spans="1:66" x14ac:dyDescent="0.25">
      <c r="A15" s="30" t="str">
        <f>$A$6&amp;IF(B15="","",COUNTA($B$9:B15)+100)</f>
        <v>SK-</v>
      </c>
      <c r="B15" s="15"/>
      <c r="C15" s="15"/>
      <c r="D15" s="15"/>
      <c r="E15" s="15"/>
      <c r="F15" s="15"/>
      <c r="G15" s="16"/>
      <c r="H15" s="16"/>
      <c r="I15" s="17"/>
      <c r="J15" s="15"/>
      <c r="K15" s="12" t="str">
        <f t="shared" si="2"/>
        <v xml:space="preserve"> </v>
      </c>
      <c r="L15" s="1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5">
        <f t="shared" si="3"/>
        <v>0</v>
      </c>
      <c r="AS15" s="15">
        <f t="shared" si="4"/>
        <v>0</v>
      </c>
      <c r="AT15" s="15">
        <f t="shared" si="5"/>
        <v>0</v>
      </c>
      <c r="AU15" s="15">
        <f t="shared" si="6"/>
        <v>0</v>
      </c>
      <c r="AV15" s="15">
        <f t="shared" si="7"/>
        <v>0</v>
      </c>
      <c r="AW15" s="15">
        <f t="shared" si="8"/>
        <v>0</v>
      </c>
      <c r="AX15" s="15">
        <f t="shared" si="9"/>
        <v>0</v>
      </c>
      <c r="AY15" s="15"/>
      <c r="AZ15" s="15">
        <f t="shared" si="10"/>
        <v>0</v>
      </c>
      <c r="BA15" s="15">
        <f t="shared" si="11"/>
        <v>0</v>
      </c>
      <c r="BB15" s="15">
        <f t="shared" si="12"/>
        <v>0</v>
      </c>
      <c r="BC15" s="15">
        <f t="shared" si="13"/>
        <v>0</v>
      </c>
      <c r="BD15" s="37">
        <f t="shared" si="14"/>
        <v>0</v>
      </c>
      <c r="BE15" s="15">
        <f t="shared" si="15"/>
        <v>0</v>
      </c>
      <c r="BF15" s="15">
        <f t="shared" si="16"/>
        <v>0</v>
      </c>
      <c r="BG15" s="41">
        <f t="shared" si="17"/>
        <v>0</v>
      </c>
      <c r="BH15" s="37">
        <f t="shared" si="18"/>
        <v>0</v>
      </c>
      <c r="BI15" s="1"/>
      <c r="BJ15" s="15"/>
      <c r="BK15" s="15">
        <f t="shared" si="19"/>
        <v>0</v>
      </c>
      <c r="BL15" s="37">
        <f t="shared" si="20"/>
        <v>0</v>
      </c>
      <c r="BM15" s="15"/>
      <c r="BN15" s="15"/>
    </row>
    <row r="16" spans="1:66" x14ac:dyDescent="0.25">
      <c r="A16" s="30" t="str">
        <f>$A$6&amp;IF(B16="","",COUNTA($B$9:B16)+100)</f>
        <v>SK-</v>
      </c>
      <c r="B16" s="15"/>
      <c r="C16" s="15"/>
      <c r="D16" s="15"/>
      <c r="E16" s="15"/>
      <c r="F16" s="15"/>
      <c r="G16" s="16"/>
      <c r="H16" s="16"/>
      <c r="I16" s="17"/>
      <c r="J16" s="15"/>
      <c r="K16" s="12" t="str">
        <f t="shared" si="2"/>
        <v xml:space="preserve"> </v>
      </c>
      <c r="L16" s="1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5">
        <f t="shared" si="3"/>
        <v>0</v>
      </c>
      <c r="AS16" s="15">
        <f t="shared" si="4"/>
        <v>0</v>
      </c>
      <c r="AT16" s="15">
        <f t="shared" si="5"/>
        <v>0</v>
      </c>
      <c r="AU16" s="15">
        <f t="shared" si="6"/>
        <v>0</v>
      </c>
      <c r="AV16" s="15">
        <f t="shared" si="7"/>
        <v>0</v>
      </c>
      <c r="AW16" s="15">
        <f t="shared" si="8"/>
        <v>0</v>
      </c>
      <c r="AX16" s="15">
        <f t="shared" si="9"/>
        <v>0</v>
      </c>
      <c r="AY16" s="15"/>
      <c r="AZ16" s="15">
        <f t="shared" si="10"/>
        <v>0</v>
      </c>
      <c r="BA16" s="15">
        <f t="shared" si="11"/>
        <v>0</v>
      </c>
      <c r="BB16" s="15">
        <f t="shared" si="12"/>
        <v>0</v>
      </c>
      <c r="BC16" s="15">
        <f t="shared" si="13"/>
        <v>0</v>
      </c>
      <c r="BD16" s="37">
        <f t="shared" si="14"/>
        <v>0</v>
      </c>
      <c r="BE16" s="15">
        <f t="shared" si="15"/>
        <v>0</v>
      </c>
      <c r="BF16" s="15">
        <f t="shared" si="16"/>
        <v>0</v>
      </c>
      <c r="BG16" s="41">
        <f t="shared" si="17"/>
        <v>0</v>
      </c>
      <c r="BH16" s="37">
        <f t="shared" si="18"/>
        <v>0</v>
      </c>
      <c r="BI16" s="1"/>
      <c r="BJ16" s="15"/>
      <c r="BK16" s="15">
        <f t="shared" si="19"/>
        <v>0</v>
      </c>
      <c r="BL16" s="37">
        <f t="shared" si="20"/>
        <v>0</v>
      </c>
      <c r="BM16" s="15"/>
      <c r="BN16" s="15"/>
    </row>
    <row r="17" spans="1:66" x14ac:dyDescent="0.25">
      <c r="A17" s="30" t="str">
        <f>$A$6&amp;IF(B17="","",COUNTA($B$9:B17)+100)</f>
        <v>SK-</v>
      </c>
      <c r="B17" s="15"/>
      <c r="C17" s="15"/>
      <c r="D17" s="15"/>
      <c r="E17" s="15"/>
      <c r="F17" s="15"/>
      <c r="G17" s="16"/>
      <c r="H17" s="16"/>
      <c r="I17" s="17"/>
      <c r="J17" s="15"/>
      <c r="K17" s="12" t="str">
        <f t="shared" si="2"/>
        <v xml:space="preserve"> </v>
      </c>
      <c r="L17" s="1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5">
        <f t="shared" si="3"/>
        <v>0</v>
      </c>
      <c r="AS17" s="15">
        <f t="shared" si="4"/>
        <v>0</v>
      </c>
      <c r="AT17" s="15">
        <f t="shared" si="5"/>
        <v>0</v>
      </c>
      <c r="AU17" s="15">
        <f t="shared" si="6"/>
        <v>0</v>
      </c>
      <c r="AV17" s="15">
        <f t="shared" si="7"/>
        <v>0</v>
      </c>
      <c r="AW17" s="15">
        <f t="shared" si="8"/>
        <v>0</v>
      </c>
      <c r="AX17" s="15">
        <f t="shared" si="9"/>
        <v>0</v>
      </c>
      <c r="AY17" s="15"/>
      <c r="AZ17" s="15">
        <f t="shared" si="10"/>
        <v>0</v>
      </c>
      <c r="BA17" s="15">
        <f t="shared" si="11"/>
        <v>0</v>
      </c>
      <c r="BB17" s="15">
        <f t="shared" si="12"/>
        <v>0</v>
      </c>
      <c r="BC17" s="15">
        <f t="shared" si="13"/>
        <v>0</v>
      </c>
      <c r="BD17" s="37">
        <f t="shared" si="14"/>
        <v>0</v>
      </c>
      <c r="BE17" s="15">
        <f t="shared" si="15"/>
        <v>0</v>
      </c>
      <c r="BF17" s="15">
        <f t="shared" si="16"/>
        <v>0</v>
      </c>
      <c r="BG17" s="41">
        <f t="shared" si="17"/>
        <v>0</v>
      </c>
      <c r="BH17" s="37">
        <f t="shared" si="18"/>
        <v>0</v>
      </c>
      <c r="BI17" s="1"/>
      <c r="BJ17" s="15"/>
      <c r="BK17" s="15">
        <f t="shared" si="19"/>
        <v>0</v>
      </c>
      <c r="BL17" s="37">
        <f t="shared" si="20"/>
        <v>0</v>
      </c>
      <c r="BM17" s="15"/>
      <c r="BN17" s="15"/>
    </row>
    <row r="18" spans="1:66" x14ac:dyDescent="0.25">
      <c r="A18" s="30" t="str">
        <f>$A$6&amp;IF(B18="","",COUNTA($B$9:B18)+100)</f>
        <v>SK-</v>
      </c>
      <c r="B18" s="15"/>
      <c r="C18" s="15"/>
      <c r="D18" s="15"/>
      <c r="E18" s="15"/>
      <c r="F18" s="15"/>
      <c r="G18" s="16"/>
      <c r="H18" s="16"/>
      <c r="I18" s="17"/>
      <c r="J18" s="15"/>
      <c r="K18" s="12" t="str">
        <f t="shared" si="2"/>
        <v xml:space="preserve"> </v>
      </c>
      <c r="L18" s="1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5">
        <f t="shared" si="3"/>
        <v>0</v>
      </c>
      <c r="AS18" s="15">
        <f t="shared" si="4"/>
        <v>0</v>
      </c>
      <c r="AT18" s="15">
        <f t="shared" si="5"/>
        <v>0</v>
      </c>
      <c r="AU18" s="15">
        <f t="shared" si="6"/>
        <v>0</v>
      </c>
      <c r="AV18" s="15">
        <f t="shared" si="7"/>
        <v>0</v>
      </c>
      <c r="AW18" s="15">
        <f t="shared" si="8"/>
        <v>0</v>
      </c>
      <c r="AX18" s="15">
        <f t="shared" si="9"/>
        <v>0</v>
      </c>
      <c r="AY18" s="15"/>
      <c r="AZ18" s="15">
        <f t="shared" si="10"/>
        <v>0</v>
      </c>
      <c r="BA18" s="15">
        <f t="shared" si="11"/>
        <v>0</v>
      </c>
      <c r="BB18" s="15">
        <f t="shared" si="12"/>
        <v>0</v>
      </c>
      <c r="BC18" s="15">
        <f t="shared" si="13"/>
        <v>0</v>
      </c>
      <c r="BD18" s="37">
        <f t="shared" si="14"/>
        <v>0</v>
      </c>
      <c r="BE18" s="15">
        <f t="shared" si="15"/>
        <v>0</v>
      </c>
      <c r="BF18" s="15">
        <f t="shared" si="16"/>
        <v>0</v>
      </c>
      <c r="BG18" s="41">
        <f t="shared" si="17"/>
        <v>0</v>
      </c>
      <c r="BH18" s="37">
        <f t="shared" si="18"/>
        <v>0</v>
      </c>
      <c r="BI18" s="1"/>
      <c r="BJ18" s="15"/>
      <c r="BK18" s="15">
        <f t="shared" si="19"/>
        <v>0</v>
      </c>
      <c r="BL18" s="37">
        <f t="shared" si="20"/>
        <v>0</v>
      </c>
      <c r="BM18" s="15"/>
      <c r="BN18" s="15"/>
    </row>
    <row r="19" spans="1:66" x14ac:dyDescent="0.25">
      <c r="A19" s="30" t="str">
        <f>$A$6&amp;IF(B19="","",COUNTA($B$9:B19)+100)</f>
        <v>SK-</v>
      </c>
      <c r="B19" s="15"/>
      <c r="C19" s="15"/>
      <c r="D19" s="15"/>
      <c r="E19" s="15"/>
      <c r="F19" s="15"/>
      <c r="G19" s="16"/>
      <c r="H19" s="16"/>
      <c r="I19" s="17"/>
      <c r="J19" s="15"/>
      <c r="K19" s="12" t="str">
        <f t="shared" si="2"/>
        <v xml:space="preserve"> </v>
      </c>
      <c r="L19" s="1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5">
        <f t="shared" si="3"/>
        <v>0</v>
      </c>
      <c r="AS19" s="15">
        <f t="shared" si="4"/>
        <v>0</v>
      </c>
      <c r="AT19" s="15">
        <f t="shared" si="5"/>
        <v>0</v>
      </c>
      <c r="AU19" s="15">
        <f t="shared" si="6"/>
        <v>0</v>
      </c>
      <c r="AV19" s="15">
        <f t="shared" si="7"/>
        <v>0</v>
      </c>
      <c r="AW19" s="15">
        <f t="shared" si="8"/>
        <v>0</v>
      </c>
      <c r="AX19" s="15">
        <f t="shared" si="9"/>
        <v>0</v>
      </c>
      <c r="AY19" s="15"/>
      <c r="AZ19" s="15">
        <f t="shared" si="10"/>
        <v>0</v>
      </c>
      <c r="BA19" s="15">
        <f t="shared" si="11"/>
        <v>0</v>
      </c>
      <c r="BB19" s="15">
        <f t="shared" si="12"/>
        <v>0</v>
      </c>
      <c r="BC19" s="15">
        <f t="shared" si="13"/>
        <v>0</v>
      </c>
      <c r="BD19" s="37">
        <f t="shared" si="14"/>
        <v>0</v>
      </c>
      <c r="BE19" s="15">
        <f t="shared" si="15"/>
        <v>0</v>
      </c>
      <c r="BF19" s="15">
        <f t="shared" si="16"/>
        <v>0</v>
      </c>
      <c r="BG19" s="41">
        <f t="shared" si="17"/>
        <v>0</v>
      </c>
      <c r="BH19" s="37">
        <f t="shared" si="18"/>
        <v>0</v>
      </c>
      <c r="BI19" s="1"/>
      <c r="BJ19" s="15"/>
      <c r="BK19" s="15">
        <f t="shared" si="19"/>
        <v>0</v>
      </c>
      <c r="BL19" s="37">
        <f t="shared" si="20"/>
        <v>0</v>
      </c>
      <c r="BM19" s="15"/>
      <c r="BN19" s="15"/>
    </row>
    <row r="20" spans="1:66" x14ac:dyDescent="0.25">
      <c r="A20" s="30" t="str">
        <f>$A$6&amp;IF(B20="","",COUNTA($B$9:B20)+100)</f>
        <v>SK-</v>
      </c>
      <c r="B20" s="15"/>
      <c r="C20" s="15"/>
      <c r="D20" s="15"/>
      <c r="E20" s="15"/>
      <c r="F20" s="15"/>
      <c r="G20" s="16"/>
      <c r="H20" s="16"/>
      <c r="I20" s="17"/>
      <c r="J20" s="15"/>
      <c r="K20" s="12" t="str">
        <f t="shared" si="2"/>
        <v xml:space="preserve"> </v>
      </c>
      <c r="L20" s="1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5">
        <f t="shared" si="3"/>
        <v>0</v>
      </c>
      <c r="AS20" s="15">
        <f t="shared" si="4"/>
        <v>0</v>
      </c>
      <c r="AT20" s="15">
        <f t="shared" si="5"/>
        <v>0</v>
      </c>
      <c r="AU20" s="15">
        <f t="shared" si="6"/>
        <v>0</v>
      </c>
      <c r="AV20" s="15">
        <f t="shared" si="7"/>
        <v>0</v>
      </c>
      <c r="AW20" s="15">
        <f t="shared" si="8"/>
        <v>0</v>
      </c>
      <c r="AX20" s="15">
        <f t="shared" si="9"/>
        <v>0</v>
      </c>
      <c r="AY20" s="15"/>
      <c r="AZ20" s="15">
        <f t="shared" si="10"/>
        <v>0</v>
      </c>
      <c r="BA20" s="15">
        <f t="shared" si="11"/>
        <v>0</v>
      </c>
      <c r="BB20" s="15">
        <f t="shared" si="12"/>
        <v>0</v>
      </c>
      <c r="BC20" s="15">
        <f t="shared" si="13"/>
        <v>0</v>
      </c>
      <c r="BD20" s="37">
        <f t="shared" si="14"/>
        <v>0</v>
      </c>
      <c r="BE20" s="15">
        <f t="shared" si="15"/>
        <v>0</v>
      </c>
      <c r="BF20" s="15">
        <f t="shared" si="16"/>
        <v>0</v>
      </c>
      <c r="BG20" s="41">
        <f t="shared" si="17"/>
        <v>0</v>
      </c>
      <c r="BH20" s="37">
        <f t="shared" si="18"/>
        <v>0</v>
      </c>
      <c r="BI20" s="1"/>
      <c r="BJ20" s="15"/>
      <c r="BK20" s="15">
        <f t="shared" si="19"/>
        <v>0</v>
      </c>
      <c r="BL20" s="37">
        <f t="shared" si="20"/>
        <v>0</v>
      </c>
      <c r="BM20" s="15"/>
      <c r="BN20" s="15"/>
    </row>
    <row r="21" spans="1:66" x14ac:dyDescent="0.25">
      <c r="A21" s="30" t="str">
        <f>$A$6&amp;IF(B21="","",COUNTA($B$9:B21)+100)</f>
        <v>SK-</v>
      </c>
      <c r="B21" s="15"/>
      <c r="C21" s="15"/>
      <c r="D21" s="15"/>
      <c r="E21" s="15"/>
      <c r="F21" s="15"/>
      <c r="G21" s="16"/>
      <c r="H21" s="16"/>
      <c r="I21" s="17"/>
      <c r="J21" s="15"/>
      <c r="K21" s="12" t="str">
        <f t="shared" si="2"/>
        <v xml:space="preserve"> </v>
      </c>
      <c r="L21" s="1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5">
        <f t="shared" si="3"/>
        <v>0</v>
      </c>
      <c r="AS21" s="15">
        <f t="shared" si="4"/>
        <v>0</v>
      </c>
      <c r="AT21" s="15">
        <f t="shared" si="5"/>
        <v>0</v>
      </c>
      <c r="AU21" s="15">
        <f t="shared" si="6"/>
        <v>0</v>
      </c>
      <c r="AV21" s="15">
        <f t="shared" si="7"/>
        <v>0</v>
      </c>
      <c r="AW21" s="15">
        <f t="shared" si="8"/>
        <v>0</v>
      </c>
      <c r="AX21" s="15">
        <f t="shared" si="9"/>
        <v>0</v>
      </c>
      <c r="AY21" s="15"/>
      <c r="AZ21" s="15">
        <f t="shared" si="10"/>
        <v>0</v>
      </c>
      <c r="BA21" s="15">
        <f t="shared" si="11"/>
        <v>0</v>
      </c>
      <c r="BB21" s="15">
        <f t="shared" si="12"/>
        <v>0</v>
      </c>
      <c r="BC21" s="15">
        <f t="shared" si="13"/>
        <v>0</v>
      </c>
      <c r="BD21" s="37">
        <f t="shared" si="14"/>
        <v>0</v>
      </c>
      <c r="BE21" s="15">
        <f t="shared" si="15"/>
        <v>0</v>
      </c>
      <c r="BF21" s="15">
        <f t="shared" si="16"/>
        <v>0</v>
      </c>
      <c r="BG21" s="41">
        <f t="shared" si="17"/>
        <v>0</v>
      </c>
      <c r="BH21" s="37">
        <f t="shared" si="18"/>
        <v>0</v>
      </c>
      <c r="BI21" s="1"/>
      <c r="BJ21" s="15"/>
      <c r="BK21" s="15">
        <f t="shared" si="19"/>
        <v>0</v>
      </c>
      <c r="BL21" s="37">
        <f t="shared" si="20"/>
        <v>0</v>
      </c>
      <c r="BM21" s="15"/>
      <c r="BN21" s="15"/>
    </row>
  </sheetData>
  <mergeCells count="3">
    <mergeCell ref="A1:AR2"/>
    <mergeCell ref="AZ6:BB6"/>
    <mergeCell ref="BE6:BG6"/>
  </mergeCells>
  <conditionalFormatting sqref="A9:A21">
    <cfRule type="expression" dxfId="64" priority="9">
      <formula>A9="SK-"</formula>
    </cfRule>
  </conditionalFormatting>
  <conditionalFormatting sqref="K9:K21">
    <cfRule type="expression" dxfId="63" priority="10">
      <formula>K9:K21="Emp. Resign this Company"</formula>
    </cfRule>
  </conditionalFormatting>
  <conditionalFormatting sqref="M9:AQ21">
    <cfRule type="expression" dxfId="62" priority="5">
      <formula>M9="P"</formula>
    </cfRule>
    <cfRule type="expression" dxfId="61" priority="6">
      <formula>M9="L"</formula>
    </cfRule>
    <cfRule type="expression" dxfId="60" priority="7">
      <formula>M9="H"</formula>
    </cfRule>
    <cfRule type="expression" dxfId="59" priority="8">
      <formula>M9="A"</formula>
    </cfRule>
    <cfRule type="expression" dxfId="58" priority="13">
      <formula>M$7="sun"</formula>
    </cfRule>
  </conditionalFormatting>
  <conditionalFormatting sqref="AO8">
    <cfRule type="expression" dxfId="57" priority="12">
      <formula>$AO$8=DATEVLUE(1/29/2024)</formula>
    </cfRule>
  </conditionalFormatting>
  <conditionalFormatting sqref="AP8">
    <cfRule type="expression" dxfId="56" priority="11">
      <formula>$AP$8=DATEVALUE("2/30/2024")</formula>
    </cfRule>
  </conditionalFormatting>
  <conditionalFormatting sqref="AR9:BL21">
    <cfRule type="expression" dxfId="55" priority="4">
      <formula>AR9=0</formula>
    </cfRule>
  </conditionalFormatting>
  <conditionalFormatting sqref="BM9:BN21">
    <cfRule type="expression" dxfId="54" priority="1">
      <formula>$BN9="Process"</formula>
    </cfRule>
    <cfRule type="expression" dxfId="53" priority="2">
      <formula>$BN9="Pending"</formula>
    </cfRule>
    <cfRule type="expression" dxfId="52" priority="3">
      <formula>$BN9="done"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'data sheet'!$D$2:$D$4</xm:f>
          </x14:formula1>
          <xm:sqref>BN9:BN21</xm:sqref>
        </x14:dataValidation>
        <x14:dataValidation type="list" allowBlank="1" showInputMessage="1" showErrorMessage="1">
          <x14:formula1>
            <xm:f>'data sheet'!$Q$1:$Q$12</xm:f>
          </x14:formula1>
          <xm:sqref>L5</xm:sqref>
        </x14:dataValidation>
        <x14:dataValidation type="list" allowBlank="1" showInputMessage="1" showErrorMessage="1">
          <x14:formula1>
            <xm:f>'data sheet'!$P$1:$P$99</xm:f>
          </x14:formula1>
          <xm:sqref>M5</xm:sqref>
        </x14:dataValidation>
        <x14:dataValidation type="list" allowBlank="1" showInputMessage="1" showErrorMessage="1">
          <x14:formula1>
            <xm:f>'data sheet'!$C$2:$C$9</xm:f>
          </x14:formula1>
          <xm:sqref>D9:D21</xm:sqref>
        </x14:dataValidation>
        <x14:dataValidation type="list" allowBlank="1" showInputMessage="1" showErrorMessage="1">
          <x14:formula1>
            <xm:f>'data sheet'!$B$2:$B$6</xm:f>
          </x14:formula1>
          <xm:sqref>C9:C21</xm:sqref>
        </x14:dataValidation>
        <x14:dataValidation type="list" allowBlank="1" showInputMessage="1" showErrorMessage="1">
          <x14:formula1>
            <xm:f>'data sheet'!$A$2:$A$14</xm:f>
          </x14:formula1>
          <xm:sqref>B9:B21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21"/>
  <sheetViews>
    <sheetView workbookViewId="0">
      <selection activeCell="A8" sqref="A8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5.85546875" bestFit="1" customWidth="1"/>
    <col min="4" max="4" width="4.85546875" bestFit="1" customWidth="1"/>
    <col min="5" max="5" width="7.7109375" bestFit="1" customWidth="1"/>
    <col min="6" max="6" width="7.140625" bestFit="1" customWidth="1"/>
    <col min="7" max="7" width="7.28515625" bestFit="1" customWidth="1"/>
    <col min="9" max="9" width="9" bestFit="1" customWidth="1"/>
    <col min="10" max="10" width="9.7109375" bestFit="1" customWidth="1"/>
    <col min="11" max="11" width="11.42578125" bestFit="1" customWidth="1"/>
    <col min="12" max="12" width="7" bestFit="1" customWidth="1"/>
    <col min="13" max="43" width="10.42578125" bestFit="1" customWidth="1"/>
    <col min="44" max="44" width="9.85546875" bestFit="1" customWidth="1"/>
    <col min="45" max="45" width="7.85546875" bestFit="1" customWidth="1"/>
    <col min="46" max="46" width="7.28515625" bestFit="1" customWidth="1"/>
    <col min="47" max="47" width="6.140625" bestFit="1" customWidth="1"/>
    <col min="48" max="48" width="7.42578125" bestFit="1" customWidth="1"/>
    <col min="49" max="49" width="8.140625" bestFit="1" customWidth="1"/>
    <col min="50" max="50" width="12.7109375" bestFit="1" customWidth="1"/>
    <col min="51" max="51" width="11.140625" bestFit="1" customWidth="1"/>
    <col min="52" max="52" width="19.7109375" bestFit="1" customWidth="1"/>
    <col min="53" max="53" width="21.85546875" bestFit="1" customWidth="1"/>
    <col min="54" max="54" width="22" bestFit="1" customWidth="1"/>
    <col min="55" max="55" width="27.5703125" bestFit="1" customWidth="1"/>
    <col min="56" max="56" width="8.7109375" bestFit="1" customWidth="1"/>
    <col min="57" max="57" width="4.5703125" bestFit="1" customWidth="1"/>
    <col min="58" max="58" width="4.7109375" bestFit="1" customWidth="1"/>
    <col min="59" max="59" width="22.42578125" bestFit="1" customWidth="1"/>
    <col min="60" max="60" width="11.7109375" bestFit="1" customWidth="1"/>
    <col min="61" max="61" width="8.5703125" bestFit="1" customWidth="1"/>
    <col min="62" max="62" width="14.28515625" bestFit="1" customWidth="1"/>
    <col min="63" max="64" width="10" bestFit="1" customWidth="1"/>
    <col min="65" max="65" width="15.85546875" bestFit="1" customWidth="1"/>
    <col min="66" max="66" width="6.42578125" bestFit="1" customWidth="1"/>
  </cols>
  <sheetData>
    <row r="1" spans="1:66" ht="30" customHeight="1" x14ac:dyDescent="0.25">
      <c r="A1" s="49" t="str">
        <f>"Attendance for"&amp;" "&amp;TEXT(P4,"mmmm yyyy")&amp;" "&amp;"Month"</f>
        <v>Attendance for September 2025 Month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BB1" s="15"/>
      <c r="BC1" s="42">
        <f>$AY$9/30</f>
        <v>0</v>
      </c>
      <c r="BD1" s="39">
        <f>BC1*30</f>
        <v>0</v>
      </c>
      <c r="BE1" s="39"/>
      <c r="BF1" s="39"/>
    </row>
    <row r="2" spans="1:66" ht="30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X2" s="23" t="s">
        <v>87</v>
      </c>
      <c r="AY2" s="24" t="s">
        <v>40</v>
      </c>
      <c r="AZ2" s="36" t="s">
        <v>70</v>
      </c>
      <c r="BA2" s="36" t="s">
        <v>71</v>
      </c>
      <c r="BB2" s="31" t="s">
        <v>67</v>
      </c>
      <c r="BC2" s="35" t="s">
        <v>68</v>
      </c>
      <c r="BD2" s="32" t="s">
        <v>89</v>
      </c>
      <c r="BE2" s="39"/>
      <c r="BF2" s="39">
        <f>AX9*BC1</f>
        <v>0</v>
      </c>
    </row>
    <row r="3" spans="1:66" x14ac:dyDescent="0.25">
      <c r="AX3" s="37">
        <f>$BC$1*$AV$9</f>
        <v>0</v>
      </c>
      <c r="AY3" s="37">
        <f>$BC$1*$AW$9/2</f>
        <v>0</v>
      </c>
      <c r="AZ3" s="37">
        <f>$BC$1*$AU$9/2</f>
        <v>0</v>
      </c>
      <c r="BA3" s="37">
        <f>$BC$1/8*$BJ$9</f>
        <v>0</v>
      </c>
      <c r="BB3" s="37">
        <f>$BC$1*$AT$9</f>
        <v>0</v>
      </c>
      <c r="BC3" s="15">
        <f>$BC$1*$AS$9</f>
        <v>0</v>
      </c>
      <c r="BD3" s="40">
        <f>(AX3)+(AY3)+(AZ3)+(BC3)</f>
        <v>0</v>
      </c>
      <c r="BE3" s="39"/>
      <c r="BF3" s="39"/>
    </row>
    <row r="4" spans="1:66" x14ac:dyDescent="0.25">
      <c r="L4" s="34" t="s">
        <v>14</v>
      </c>
      <c r="M4" s="34" t="s">
        <v>15</v>
      </c>
      <c r="O4" s="34" t="s">
        <v>0</v>
      </c>
      <c r="P4" s="3">
        <f>DATEVALUE("1"&amp;L5&amp;M5)</f>
        <v>45901</v>
      </c>
      <c r="AX4" s="15"/>
      <c r="AY4" s="15"/>
      <c r="AZ4" s="15"/>
      <c r="BA4" s="15"/>
      <c r="BB4" s="15"/>
      <c r="BC4" s="15"/>
      <c r="BD4" s="32"/>
      <c r="BE4" s="39"/>
      <c r="BF4" s="39"/>
    </row>
    <row r="5" spans="1:66" x14ac:dyDescent="0.25">
      <c r="L5" s="2" t="s">
        <v>10</v>
      </c>
      <c r="M5" s="2">
        <v>2025</v>
      </c>
      <c r="O5" s="34" t="s">
        <v>1</v>
      </c>
      <c r="P5" s="3">
        <f>EOMONTH(P4,0)</f>
        <v>45930</v>
      </c>
      <c r="AX5" s="10"/>
      <c r="AY5" s="10"/>
      <c r="AZ5" s="10"/>
      <c r="BA5" s="10"/>
      <c r="BB5" s="10"/>
      <c r="BC5" s="38"/>
      <c r="BD5" s="10"/>
      <c r="BI5" s="11"/>
      <c r="BJ5" s="11"/>
      <c r="BL5" s="11"/>
    </row>
    <row r="6" spans="1:66" x14ac:dyDescent="0.25">
      <c r="A6" s="32" t="s">
        <v>86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2"/>
      <c r="P6" s="13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X6" s="10"/>
      <c r="AZ6" s="48" t="s">
        <v>44</v>
      </c>
      <c r="BA6" s="48"/>
      <c r="BB6" s="48"/>
      <c r="BE6" s="51" t="s">
        <v>45</v>
      </c>
      <c r="BF6" s="51"/>
      <c r="BG6" s="52"/>
    </row>
    <row r="7" spans="1:6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8" t="str">
        <f t="shared" ref="M7:AQ7" si="0">TEXT(M8,"Ddd")</f>
        <v>Mon</v>
      </c>
      <c r="N7" s="8" t="str">
        <f t="shared" si="0"/>
        <v>Tue</v>
      </c>
      <c r="O7" s="8" t="str">
        <f t="shared" si="0"/>
        <v>Wed</v>
      </c>
      <c r="P7" s="8" t="str">
        <f t="shared" si="0"/>
        <v>Thu</v>
      </c>
      <c r="Q7" s="8" t="str">
        <f t="shared" si="0"/>
        <v>Fri</v>
      </c>
      <c r="R7" s="8" t="str">
        <f t="shared" si="0"/>
        <v>Sat</v>
      </c>
      <c r="S7" s="8" t="str">
        <f t="shared" si="0"/>
        <v>Sun</v>
      </c>
      <c r="T7" s="8" t="str">
        <f t="shared" si="0"/>
        <v>Mon</v>
      </c>
      <c r="U7" s="8" t="str">
        <f t="shared" si="0"/>
        <v>Tue</v>
      </c>
      <c r="V7" s="8" t="str">
        <f t="shared" si="0"/>
        <v>Wed</v>
      </c>
      <c r="W7" s="8" t="str">
        <f t="shared" si="0"/>
        <v>Thu</v>
      </c>
      <c r="X7" s="8" t="str">
        <f t="shared" si="0"/>
        <v>Fri</v>
      </c>
      <c r="Y7" s="8" t="str">
        <f t="shared" si="0"/>
        <v>Sat</v>
      </c>
      <c r="Z7" s="8" t="str">
        <f t="shared" si="0"/>
        <v>Sun</v>
      </c>
      <c r="AA7" s="8" t="str">
        <f t="shared" si="0"/>
        <v>Mon</v>
      </c>
      <c r="AB7" s="8" t="str">
        <f t="shared" si="0"/>
        <v>Tue</v>
      </c>
      <c r="AC7" s="8" t="str">
        <f t="shared" si="0"/>
        <v>Wed</v>
      </c>
      <c r="AD7" s="8" t="str">
        <f t="shared" si="0"/>
        <v>Thu</v>
      </c>
      <c r="AE7" s="8" t="str">
        <f t="shared" si="0"/>
        <v>Fri</v>
      </c>
      <c r="AF7" s="8" t="str">
        <f t="shared" si="0"/>
        <v>Sat</v>
      </c>
      <c r="AG7" s="8" t="str">
        <f t="shared" si="0"/>
        <v>Sun</v>
      </c>
      <c r="AH7" s="8" t="str">
        <f t="shared" si="0"/>
        <v>Mon</v>
      </c>
      <c r="AI7" s="8" t="str">
        <f t="shared" si="0"/>
        <v>Tue</v>
      </c>
      <c r="AJ7" s="8" t="str">
        <f t="shared" si="0"/>
        <v>Wed</v>
      </c>
      <c r="AK7" s="8" t="str">
        <f t="shared" si="0"/>
        <v>Thu</v>
      </c>
      <c r="AL7" s="8" t="str">
        <f t="shared" si="0"/>
        <v>Fri</v>
      </c>
      <c r="AM7" s="8" t="str">
        <f t="shared" si="0"/>
        <v>Sat</v>
      </c>
      <c r="AN7" s="8" t="str">
        <f t="shared" si="0"/>
        <v>Sun</v>
      </c>
      <c r="AO7" s="8" t="str">
        <f t="shared" si="0"/>
        <v>Mon</v>
      </c>
      <c r="AP7" s="8" t="str">
        <f t="shared" si="0"/>
        <v>Tue</v>
      </c>
      <c r="AQ7" s="8" t="str">
        <f t="shared" si="0"/>
        <v xml:space="preserve"> </v>
      </c>
      <c r="AX7" s="10"/>
      <c r="AY7" s="10"/>
      <c r="AZ7" s="28">
        <v>0.03</v>
      </c>
      <c r="BA7" s="28">
        <v>0.05</v>
      </c>
      <c r="BB7" s="28">
        <v>7.0000000000000007E-2</v>
      </c>
      <c r="BC7" s="10"/>
      <c r="BE7" s="29">
        <v>0.12</v>
      </c>
      <c r="BF7" s="29">
        <v>0.02</v>
      </c>
      <c r="BH7" s="10"/>
      <c r="BM7" s="10"/>
      <c r="BN7" s="10"/>
    </row>
    <row r="8" spans="1:66" x14ac:dyDescent="0.25">
      <c r="A8" s="14" t="s">
        <v>16</v>
      </c>
      <c r="B8" s="14" t="s">
        <v>17</v>
      </c>
      <c r="C8" s="14" t="s">
        <v>58</v>
      </c>
      <c r="D8" s="14" t="s">
        <v>59</v>
      </c>
      <c r="E8" s="14" t="s">
        <v>60</v>
      </c>
      <c r="F8" s="14" t="s">
        <v>61</v>
      </c>
      <c r="G8" s="14" t="s">
        <v>18</v>
      </c>
      <c r="H8" s="14" t="s">
        <v>41</v>
      </c>
      <c r="I8" s="14" t="s">
        <v>64</v>
      </c>
      <c r="J8" s="14" t="s">
        <v>63</v>
      </c>
      <c r="K8" s="14" t="s">
        <v>65</v>
      </c>
      <c r="L8" s="14" t="s">
        <v>20</v>
      </c>
      <c r="M8" s="46">
        <f>P4</f>
        <v>45901</v>
      </c>
      <c r="N8" s="46">
        <f t="shared" ref="N8:AM8" si="1">M8+1</f>
        <v>45902</v>
      </c>
      <c r="O8" s="46">
        <f t="shared" si="1"/>
        <v>45903</v>
      </c>
      <c r="P8" s="46">
        <f t="shared" si="1"/>
        <v>45904</v>
      </c>
      <c r="Q8" s="46">
        <f t="shared" si="1"/>
        <v>45905</v>
      </c>
      <c r="R8" s="46">
        <f t="shared" si="1"/>
        <v>45906</v>
      </c>
      <c r="S8" s="46">
        <f t="shared" si="1"/>
        <v>45907</v>
      </c>
      <c r="T8" s="46">
        <f t="shared" si="1"/>
        <v>45908</v>
      </c>
      <c r="U8" s="46">
        <f t="shared" si="1"/>
        <v>45909</v>
      </c>
      <c r="V8" s="46">
        <f t="shared" si="1"/>
        <v>45910</v>
      </c>
      <c r="W8" s="46">
        <f t="shared" si="1"/>
        <v>45911</v>
      </c>
      <c r="X8" s="46">
        <f t="shared" si="1"/>
        <v>45912</v>
      </c>
      <c r="Y8" s="46">
        <f t="shared" si="1"/>
        <v>45913</v>
      </c>
      <c r="Z8" s="46">
        <f t="shared" si="1"/>
        <v>45914</v>
      </c>
      <c r="AA8" s="46">
        <f t="shared" si="1"/>
        <v>45915</v>
      </c>
      <c r="AB8" s="46">
        <f t="shared" si="1"/>
        <v>45916</v>
      </c>
      <c r="AC8" s="46">
        <f t="shared" si="1"/>
        <v>45917</v>
      </c>
      <c r="AD8" s="46">
        <f t="shared" si="1"/>
        <v>45918</v>
      </c>
      <c r="AE8" s="46">
        <f t="shared" si="1"/>
        <v>45919</v>
      </c>
      <c r="AF8" s="46">
        <f t="shared" si="1"/>
        <v>45920</v>
      </c>
      <c r="AG8" s="46">
        <f t="shared" si="1"/>
        <v>45921</v>
      </c>
      <c r="AH8" s="46">
        <f t="shared" si="1"/>
        <v>45922</v>
      </c>
      <c r="AI8" s="46">
        <f t="shared" si="1"/>
        <v>45923</v>
      </c>
      <c r="AJ8" s="46">
        <f t="shared" si="1"/>
        <v>45924</v>
      </c>
      <c r="AK8" s="46">
        <f t="shared" si="1"/>
        <v>45925</v>
      </c>
      <c r="AL8" s="46">
        <f t="shared" si="1"/>
        <v>45926</v>
      </c>
      <c r="AM8" s="46">
        <f t="shared" si="1"/>
        <v>45927</v>
      </c>
      <c r="AN8" s="46">
        <f>IF(AM8&lt;$P$5,AM8+1," ")</f>
        <v>45928</v>
      </c>
      <c r="AO8" s="46">
        <f>IF(AN8&lt;$P$5,AN8+1," ")</f>
        <v>45929</v>
      </c>
      <c r="AP8" s="46">
        <f>IF(AO8&lt;$P$5,AO8+1," ")</f>
        <v>45930</v>
      </c>
      <c r="AQ8" s="46" t="str">
        <f>IF(AP8&lt;$P$5,AP8+1," ")</f>
        <v xml:space="preserve"> </v>
      </c>
      <c r="AR8" s="21" t="s">
        <v>42</v>
      </c>
      <c r="AS8" s="18" t="s">
        <v>25</v>
      </c>
      <c r="AT8" s="22" t="s">
        <v>38</v>
      </c>
      <c r="AU8" s="23" t="s">
        <v>39</v>
      </c>
      <c r="AV8" s="23" t="s">
        <v>87</v>
      </c>
      <c r="AW8" s="24" t="s">
        <v>40</v>
      </c>
      <c r="AX8" s="25" t="s">
        <v>43</v>
      </c>
      <c r="AY8" s="4" t="s">
        <v>46</v>
      </c>
      <c r="AZ8" s="4" t="s">
        <v>49</v>
      </c>
      <c r="BA8" s="26" t="s">
        <v>50</v>
      </c>
      <c r="BB8" s="8" t="s">
        <v>51</v>
      </c>
      <c r="BC8" s="27" t="s">
        <v>52</v>
      </c>
      <c r="BD8" s="20" t="s">
        <v>53</v>
      </c>
      <c r="BE8" s="7" t="s">
        <v>54</v>
      </c>
      <c r="BF8" s="9" t="s">
        <v>69</v>
      </c>
      <c r="BG8" s="45" t="s">
        <v>95</v>
      </c>
      <c r="BH8" s="27" t="s">
        <v>55</v>
      </c>
      <c r="BI8" s="7" t="s">
        <v>48</v>
      </c>
      <c r="BJ8" s="5" t="s">
        <v>62</v>
      </c>
      <c r="BK8" s="6" t="s">
        <v>47</v>
      </c>
      <c r="BL8" s="19" t="s">
        <v>56</v>
      </c>
      <c r="BM8" s="20" t="s">
        <v>57</v>
      </c>
      <c r="BN8" s="44" t="s">
        <v>91</v>
      </c>
    </row>
    <row r="9" spans="1:66" x14ac:dyDescent="0.25">
      <c r="A9" s="30" t="str">
        <f>$A$6&amp;IF(B9="","",COUNTA($B$9:B9)+100)</f>
        <v>SK-</v>
      </c>
      <c r="B9" s="15"/>
      <c r="C9" s="15"/>
      <c r="D9" s="15"/>
      <c r="E9" s="15"/>
      <c r="F9" s="15"/>
      <c r="G9" s="16"/>
      <c r="H9" s="16"/>
      <c r="I9" s="17"/>
      <c r="J9" s="17"/>
      <c r="K9" s="12" t="str">
        <f>IF($J9=""," ","Emp. Resign this Company")</f>
        <v xml:space="preserve"> </v>
      </c>
      <c r="L9" s="1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5">
        <f>COUNTA(M9:AQ9)</f>
        <v>0</v>
      </c>
      <c r="AS9" s="15">
        <f>COUNTIF(M9:AQ9,"P")</f>
        <v>0</v>
      </c>
      <c r="AT9" s="15">
        <f>COUNTIF(M9:AQ9,"A")</f>
        <v>0</v>
      </c>
      <c r="AU9" s="15">
        <f>COUNTIF(M9:AQ9,"L")</f>
        <v>0</v>
      </c>
      <c r="AV9" s="15">
        <f>COUNTIF(M9:AQ9,"SUN")</f>
        <v>0</v>
      </c>
      <c r="AW9" s="15">
        <f>COUNTIF(M9:AQ9,"H")</f>
        <v>0</v>
      </c>
      <c r="AX9" s="15">
        <f>($AR9-$AT9)-($AW9/2)-($AU9/2)</f>
        <v>0</v>
      </c>
      <c r="AY9" s="15"/>
      <c r="AZ9" s="15">
        <f>$AY9*$AZ$7</f>
        <v>0</v>
      </c>
      <c r="BA9" s="15">
        <f>$AY9*$BA$7</f>
        <v>0</v>
      </c>
      <c r="BB9" s="15">
        <f>$AY9*$BB$7</f>
        <v>0</v>
      </c>
      <c r="BC9" s="15">
        <f>$AZ9+$BA9+$BB9</f>
        <v>0</v>
      </c>
      <c r="BD9" s="37">
        <f>($AY9+$BC9)</f>
        <v>0</v>
      </c>
      <c r="BE9" s="15">
        <f>$AY9*$BE$7</f>
        <v>0</v>
      </c>
      <c r="BF9" s="15">
        <f>$AY9*$BF$7</f>
        <v>0</v>
      </c>
      <c r="BG9" s="41">
        <f>$BC$1*$AT9</f>
        <v>0</v>
      </c>
      <c r="BH9" s="37">
        <f>$BE9+$BF9+$BG9</f>
        <v>0</v>
      </c>
      <c r="BI9" s="1"/>
      <c r="BJ9" s="15"/>
      <c r="BK9" s="15">
        <f>IF($BA$4="",$AY9/30/8*$BJ9,$BA4*$BJ9)</f>
        <v>0</v>
      </c>
      <c r="BL9" s="37">
        <f>($BD9-$BH9)-$BI9</f>
        <v>0</v>
      </c>
      <c r="BM9" s="17"/>
      <c r="BN9" s="15"/>
    </row>
    <row r="10" spans="1:66" x14ac:dyDescent="0.25">
      <c r="A10" s="30" t="str">
        <f>$A$6&amp;IF(B10="","",COUNTA($B$9:B10)+100)</f>
        <v>SK-</v>
      </c>
      <c r="B10" s="15"/>
      <c r="C10" s="15"/>
      <c r="D10" s="15"/>
      <c r="E10" s="15"/>
      <c r="F10" s="15"/>
      <c r="G10" s="16"/>
      <c r="H10" s="16"/>
      <c r="I10" s="17"/>
      <c r="J10" s="17"/>
      <c r="K10" s="12" t="str">
        <f t="shared" ref="K10:K21" si="2">IF($J10=""," ","Emp. Resign this Company")</f>
        <v xml:space="preserve"> </v>
      </c>
      <c r="L10" s="1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5">
        <f t="shared" ref="AR10:AR21" si="3">COUNTA(M10:AQ10)</f>
        <v>0</v>
      </c>
      <c r="AS10" s="15">
        <f t="shared" ref="AS10:AS21" si="4">COUNTIF(M10:AQ10,"P")</f>
        <v>0</v>
      </c>
      <c r="AT10" s="15">
        <f t="shared" ref="AT10:AT21" si="5">COUNTIF(M10:AQ10,"A")</f>
        <v>0</v>
      </c>
      <c r="AU10" s="15">
        <f t="shared" ref="AU10:AU21" si="6">COUNTIF(M10:AQ10,"L")</f>
        <v>0</v>
      </c>
      <c r="AV10" s="15">
        <f t="shared" ref="AV10:AV21" si="7">COUNTIF(M10:AQ10,"SUN")</f>
        <v>0</v>
      </c>
      <c r="AW10" s="15">
        <f t="shared" ref="AW10:AW21" si="8">COUNTIF(M10:AQ10,"H")</f>
        <v>0</v>
      </c>
      <c r="AX10" s="15">
        <f t="shared" ref="AX10:AX21" si="9">($AR10-$AT10)-($AW10/2)-($AU10/2)</f>
        <v>0</v>
      </c>
      <c r="AY10" s="15"/>
      <c r="AZ10" s="15">
        <f t="shared" ref="AZ10:AZ21" si="10">$AY10*$AZ$7</f>
        <v>0</v>
      </c>
      <c r="BA10" s="15">
        <f t="shared" ref="BA10:BA21" si="11">$AY10*$BA$7</f>
        <v>0</v>
      </c>
      <c r="BB10" s="15">
        <f t="shared" ref="BB10:BB21" si="12">$AY10*$BB$7</f>
        <v>0</v>
      </c>
      <c r="BC10" s="15">
        <f t="shared" ref="BC10:BC21" si="13">$AZ10+$BA10+$BB10</f>
        <v>0</v>
      </c>
      <c r="BD10" s="37">
        <f t="shared" ref="BD10:BD21" si="14">($AY10+$BC10)</f>
        <v>0</v>
      </c>
      <c r="BE10" s="15">
        <f t="shared" ref="BE10:BE21" si="15">$AY10*$BE$7</f>
        <v>0</v>
      </c>
      <c r="BF10" s="15">
        <f t="shared" ref="BF10:BF21" si="16">$AY10*$BF$7</f>
        <v>0</v>
      </c>
      <c r="BG10" s="41">
        <f t="shared" ref="BG10:BG21" si="17">$BC$1*$AT10</f>
        <v>0</v>
      </c>
      <c r="BH10" s="37">
        <f t="shared" ref="BH10:BH21" si="18">$BE10+$BF10+$BG10</f>
        <v>0</v>
      </c>
      <c r="BI10" s="1"/>
      <c r="BJ10" s="15"/>
      <c r="BK10" s="15">
        <f t="shared" ref="BK10:BK21" si="19">IF($BA$4="",$AY10/30/8*$BJ10,$BA5*$BJ10)</f>
        <v>0</v>
      </c>
      <c r="BL10" s="37">
        <f t="shared" ref="BL10:BL21" si="20">($BD10-$BH10)-$BI10</f>
        <v>0</v>
      </c>
      <c r="BM10" s="15"/>
      <c r="BN10" s="15"/>
    </row>
    <row r="11" spans="1:66" x14ac:dyDescent="0.25">
      <c r="A11" s="30" t="str">
        <f>$A$6&amp;IF(B11="","",COUNTA($B$9:B11)+100)</f>
        <v>SK-</v>
      </c>
      <c r="B11" s="15"/>
      <c r="C11" s="15"/>
      <c r="D11" s="15"/>
      <c r="E11" s="15"/>
      <c r="F11" s="15"/>
      <c r="G11" s="16"/>
      <c r="H11" s="16"/>
      <c r="I11" s="17"/>
      <c r="J11" s="15"/>
      <c r="K11" s="12" t="str">
        <f t="shared" si="2"/>
        <v xml:space="preserve"> </v>
      </c>
      <c r="L11" s="1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5">
        <f t="shared" si="3"/>
        <v>0</v>
      </c>
      <c r="AS11" s="15">
        <f t="shared" si="4"/>
        <v>0</v>
      </c>
      <c r="AT11" s="15">
        <f t="shared" si="5"/>
        <v>0</v>
      </c>
      <c r="AU11" s="15">
        <f t="shared" si="6"/>
        <v>0</v>
      </c>
      <c r="AV11" s="15">
        <f t="shared" si="7"/>
        <v>0</v>
      </c>
      <c r="AW11" s="15">
        <f t="shared" si="8"/>
        <v>0</v>
      </c>
      <c r="AX11" s="15">
        <f t="shared" si="9"/>
        <v>0</v>
      </c>
      <c r="AY11" s="15"/>
      <c r="AZ11" s="15">
        <f t="shared" si="10"/>
        <v>0</v>
      </c>
      <c r="BA11" s="15">
        <f t="shared" si="11"/>
        <v>0</v>
      </c>
      <c r="BB11" s="15">
        <f t="shared" si="12"/>
        <v>0</v>
      </c>
      <c r="BC11" s="15">
        <f t="shared" si="13"/>
        <v>0</v>
      </c>
      <c r="BD11" s="37">
        <f t="shared" si="14"/>
        <v>0</v>
      </c>
      <c r="BE11" s="15">
        <f t="shared" si="15"/>
        <v>0</v>
      </c>
      <c r="BF11" s="15">
        <f t="shared" si="16"/>
        <v>0</v>
      </c>
      <c r="BG11" s="41">
        <f t="shared" si="17"/>
        <v>0</v>
      </c>
      <c r="BH11" s="37">
        <f t="shared" si="18"/>
        <v>0</v>
      </c>
      <c r="BI11" s="1"/>
      <c r="BJ11" s="15"/>
      <c r="BK11" s="15">
        <f t="shared" si="19"/>
        <v>0</v>
      </c>
      <c r="BL11" s="37">
        <f t="shared" si="20"/>
        <v>0</v>
      </c>
      <c r="BM11" s="15"/>
      <c r="BN11" s="15"/>
    </row>
    <row r="12" spans="1:66" x14ac:dyDescent="0.25">
      <c r="A12" s="30" t="str">
        <f>$A$6&amp;IF(B12="","",COUNTA($B$9:B12)+100)</f>
        <v>SK-</v>
      </c>
      <c r="B12" s="15"/>
      <c r="C12" s="15"/>
      <c r="D12" s="15"/>
      <c r="E12" s="15"/>
      <c r="F12" s="15"/>
      <c r="G12" s="16"/>
      <c r="H12" s="16"/>
      <c r="I12" s="17"/>
      <c r="J12" s="15"/>
      <c r="K12" s="12" t="str">
        <f t="shared" si="2"/>
        <v xml:space="preserve"> </v>
      </c>
      <c r="L12" s="1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5">
        <f t="shared" si="3"/>
        <v>0</v>
      </c>
      <c r="AS12" s="15">
        <f t="shared" si="4"/>
        <v>0</v>
      </c>
      <c r="AT12" s="15">
        <f t="shared" si="5"/>
        <v>0</v>
      </c>
      <c r="AU12" s="15">
        <f t="shared" si="6"/>
        <v>0</v>
      </c>
      <c r="AV12" s="15">
        <f t="shared" si="7"/>
        <v>0</v>
      </c>
      <c r="AW12" s="15">
        <f>COUNTIF(M12:AQ12,"H")</f>
        <v>0</v>
      </c>
      <c r="AX12" s="15">
        <f t="shared" si="9"/>
        <v>0</v>
      </c>
      <c r="AY12" s="15"/>
      <c r="AZ12" s="15">
        <f t="shared" si="10"/>
        <v>0</v>
      </c>
      <c r="BA12" s="15">
        <f t="shared" si="11"/>
        <v>0</v>
      </c>
      <c r="BB12" s="15">
        <f t="shared" si="12"/>
        <v>0</v>
      </c>
      <c r="BC12" s="15">
        <f t="shared" si="13"/>
        <v>0</v>
      </c>
      <c r="BD12" s="37">
        <f t="shared" si="14"/>
        <v>0</v>
      </c>
      <c r="BE12" s="15">
        <f t="shared" si="15"/>
        <v>0</v>
      </c>
      <c r="BF12" s="15">
        <f t="shared" si="16"/>
        <v>0</v>
      </c>
      <c r="BG12" s="41">
        <f t="shared" si="17"/>
        <v>0</v>
      </c>
      <c r="BH12" s="37">
        <f t="shared" si="18"/>
        <v>0</v>
      </c>
      <c r="BI12" s="1"/>
      <c r="BJ12" s="15"/>
      <c r="BK12" s="15">
        <f t="shared" si="19"/>
        <v>0</v>
      </c>
      <c r="BL12" s="37">
        <f t="shared" si="20"/>
        <v>0</v>
      </c>
      <c r="BM12" s="15"/>
      <c r="BN12" s="15"/>
    </row>
    <row r="13" spans="1:66" x14ac:dyDescent="0.25">
      <c r="A13" s="30" t="str">
        <f>$A$6&amp;IF(B13="","",COUNTA($B$9:B13)+100)</f>
        <v>SK-</v>
      </c>
      <c r="B13" s="15"/>
      <c r="C13" s="15"/>
      <c r="D13" s="15"/>
      <c r="E13" s="15"/>
      <c r="F13" s="15"/>
      <c r="G13" s="16"/>
      <c r="H13" s="16"/>
      <c r="I13" s="17"/>
      <c r="J13" s="17"/>
      <c r="K13" s="12" t="str">
        <f t="shared" si="2"/>
        <v xml:space="preserve"> </v>
      </c>
      <c r="L13" s="1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5">
        <f t="shared" si="3"/>
        <v>0</v>
      </c>
      <c r="AS13" s="15">
        <f t="shared" si="4"/>
        <v>0</v>
      </c>
      <c r="AT13" s="15">
        <f t="shared" si="5"/>
        <v>0</v>
      </c>
      <c r="AU13" s="15">
        <f t="shared" si="6"/>
        <v>0</v>
      </c>
      <c r="AV13" s="15">
        <f t="shared" si="7"/>
        <v>0</v>
      </c>
      <c r="AW13" s="15">
        <f t="shared" si="8"/>
        <v>0</v>
      </c>
      <c r="AX13" s="15">
        <f t="shared" si="9"/>
        <v>0</v>
      </c>
      <c r="AY13" s="15"/>
      <c r="AZ13" s="15">
        <f t="shared" si="10"/>
        <v>0</v>
      </c>
      <c r="BA13" s="15">
        <f t="shared" si="11"/>
        <v>0</v>
      </c>
      <c r="BB13" s="15">
        <f t="shared" si="12"/>
        <v>0</v>
      </c>
      <c r="BC13" s="15">
        <f t="shared" si="13"/>
        <v>0</v>
      </c>
      <c r="BD13" s="37">
        <f t="shared" si="14"/>
        <v>0</v>
      </c>
      <c r="BE13" s="15">
        <f t="shared" si="15"/>
        <v>0</v>
      </c>
      <c r="BF13" s="15">
        <f t="shared" si="16"/>
        <v>0</v>
      </c>
      <c r="BG13" s="41">
        <f t="shared" si="17"/>
        <v>0</v>
      </c>
      <c r="BH13" s="37">
        <f t="shared" si="18"/>
        <v>0</v>
      </c>
      <c r="BI13" s="1"/>
      <c r="BJ13" s="15"/>
      <c r="BK13" s="15">
        <f t="shared" si="19"/>
        <v>0</v>
      </c>
      <c r="BL13" s="37">
        <f t="shared" si="20"/>
        <v>0</v>
      </c>
      <c r="BM13" s="15"/>
      <c r="BN13" s="15"/>
    </row>
    <row r="14" spans="1:66" x14ac:dyDescent="0.25">
      <c r="A14" s="30" t="str">
        <f>$A$6&amp;IF(B14="","",COUNTA($B$9:B14)+100)</f>
        <v>SK-</v>
      </c>
      <c r="B14" s="15"/>
      <c r="C14" s="15"/>
      <c r="D14" s="15"/>
      <c r="E14" s="15"/>
      <c r="F14" s="15"/>
      <c r="G14" s="16"/>
      <c r="H14" s="16"/>
      <c r="I14" s="17"/>
      <c r="J14" s="15"/>
      <c r="K14" s="12" t="str">
        <f t="shared" si="2"/>
        <v xml:space="preserve"> </v>
      </c>
      <c r="L14" s="1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5">
        <f t="shared" si="3"/>
        <v>0</v>
      </c>
      <c r="AS14" s="15">
        <f t="shared" si="4"/>
        <v>0</v>
      </c>
      <c r="AT14" s="15">
        <f t="shared" si="5"/>
        <v>0</v>
      </c>
      <c r="AU14" s="15">
        <f t="shared" si="6"/>
        <v>0</v>
      </c>
      <c r="AV14" s="15">
        <f t="shared" si="7"/>
        <v>0</v>
      </c>
      <c r="AW14" s="15">
        <f t="shared" si="8"/>
        <v>0</v>
      </c>
      <c r="AX14" s="15">
        <f t="shared" si="9"/>
        <v>0</v>
      </c>
      <c r="AY14" s="15"/>
      <c r="AZ14" s="15">
        <f t="shared" si="10"/>
        <v>0</v>
      </c>
      <c r="BA14" s="15">
        <f t="shared" si="11"/>
        <v>0</v>
      </c>
      <c r="BB14" s="15">
        <f t="shared" si="12"/>
        <v>0</v>
      </c>
      <c r="BC14" s="15">
        <f t="shared" si="13"/>
        <v>0</v>
      </c>
      <c r="BD14" s="37">
        <f t="shared" si="14"/>
        <v>0</v>
      </c>
      <c r="BE14" s="15">
        <f t="shared" si="15"/>
        <v>0</v>
      </c>
      <c r="BF14" s="15">
        <f t="shared" si="16"/>
        <v>0</v>
      </c>
      <c r="BG14" s="41">
        <f t="shared" si="17"/>
        <v>0</v>
      </c>
      <c r="BH14" s="37">
        <f t="shared" si="18"/>
        <v>0</v>
      </c>
      <c r="BI14" s="1"/>
      <c r="BJ14" s="15"/>
      <c r="BK14" s="15">
        <f t="shared" si="19"/>
        <v>0</v>
      </c>
      <c r="BL14" s="37">
        <f t="shared" si="20"/>
        <v>0</v>
      </c>
      <c r="BM14" s="15"/>
      <c r="BN14" s="15"/>
    </row>
    <row r="15" spans="1:66" x14ac:dyDescent="0.25">
      <c r="A15" s="30" t="str">
        <f>$A$6&amp;IF(B15="","",COUNTA($B$9:B15)+100)</f>
        <v>SK-</v>
      </c>
      <c r="B15" s="15"/>
      <c r="C15" s="15"/>
      <c r="D15" s="15"/>
      <c r="E15" s="15"/>
      <c r="F15" s="15"/>
      <c r="G15" s="16"/>
      <c r="H15" s="16"/>
      <c r="I15" s="17"/>
      <c r="J15" s="15"/>
      <c r="K15" s="12" t="str">
        <f t="shared" si="2"/>
        <v xml:space="preserve"> </v>
      </c>
      <c r="L15" s="1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5">
        <f t="shared" si="3"/>
        <v>0</v>
      </c>
      <c r="AS15" s="15">
        <f t="shared" si="4"/>
        <v>0</v>
      </c>
      <c r="AT15" s="15">
        <f t="shared" si="5"/>
        <v>0</v>
      </c>
      <c r="AU15" s="15">
        <f t="shared" si="6"/>
        <v>0</v>
      </c>
      <c r="AV15" s="15">
        <f t="shared" si="7"/>
        <v>0</v>
      </c>
      <c r="AW15" s="15">
        <f t="shared" si="8"/>
        <v>0</v>
      </c>
      <c r="AX15" s="15">
        <f t="shared" si="9"/>
        <v>0</v>
      </c>
      <c r="AY15" s="15"/>
      <c r="AZ15" s="15">
        <f t="shared" si="10"/>
        <v>0</v>
      </c>
      <c r="BA15" s="15">
        <f t="shared" si="11"/>
        <v>0</v>
      </c>
      <c r="BB15" s="15">
        <f t="shared" si="12"/>
        <v>0</v>
      </c>
      <c r="BC15" s="15">
        <f t="shared" si="13"/>
        <v>0</v>
      </c>
      <c r="BD15" s="37">
        <f t="shared" si="14"/>
        <v>0</v>
      </c>
      <c r="BE15" s="15">
        <f t="shared" si="15"/>
        <v>0</v>
      </c>
      <c r="BF15" s="15">
        <f t="shared" si="16"/>
        <v>0</v>
      </c>
      <c r="BG15" s="41">
        <f t="shared" si="17"/>
        <v>0</v>
      </c>
      <c r="BH15" s="37">
        <f t="shared" si="18"/>
        <v>0</v>
      </c>
      <c r="BI15" s="1"/>
      <c r="BJ15" s="15"/>
      <c r="BK15" s="15">
        <f t="shared" si="19"/>
        <v>0</v>
      </c>
      <c r="BL15" s="37">
        <f t="shared" si="20"/>
        <v>0</v>
      </c>
      <c r="BM15" s="15"/>
      <c r="BN15" s="15"/>
    </row>
    <row r="16" spans="1:66" x14ac:dyDescent="0.25">
      <c r="A16" s="30" t="str">
        <f>$A$6&amp;IF(B16="","",COUNTA($B$9:B16)+100)</f>
        <v>SK-</v>
      </c>
      <c r="B16" s="15"/>
      <c r="C16" s="15"/>
      <c r="D16" s="15"/>
      <c r="E16" s="15"/>
      <c r="F16" s="15"/>
      <c r="G16" s="16"/>
      <c r="H16" s="16"/>
      <c r="I16" s="17"/>
      <c r="J16" s="15"/>
      <c r="K16" s="12" t="str">
        <f t="shared" si="2"/>
        <v xml:space="preserve"> </v>
      </c>
      <c r="L16" s="1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5">
        <f t="shared" si="3"/>
        <v>0</v>
      </c>
      <c r="AS16" s="15">
        <f t="shared" si="4"/>
        <v>0</v>
      </c>
      <c r="AT16" s="15">
        <f t="shared" si="5"/>
        <v>0</v>
      </c>
      <c r="AU16" s="15">
        <f t="shared" si="6"/>
        <v>0</v>
      </c>
      <c r="AV16" s="15">
        <f t="shared" si="7"/>
        <v>0</v>
      </c>
      <c r="AW16" s="15">
        <f t="shared" si="8"/>
        <v>0</v>
      </c>
      <c r="AX16" s="15">
        <f t="shared" si="9"/>
        <v>0</v>
      </c>
      <c r="AY16" s="15"/>
      <c r="AZ16" s="15">
        <f t="shared" si="10"/>
        <v>0</v>
      </c>
      <c r="BA16" s="15">
        <f t="shared" si="11"/>
        <v>0</v>
      </c>
      <c r="BB16" s="15">
        <f t="shared" si="12"/>
        <v>0</v>
      </c>
      <c r="BC16" s="15">
        <f t="shared" si="13"/>
        <v>0</v>
      </c>
      <c r="BD16" s="37">
        <f t="shared" si="14"/>
        <v>0</v>
      </c>
      <c r="BE16" s="15">
        <f t="shared" si="15"/>
        <v>0</v>
      </c>
      <c r="BF16" s="15">
        <f t="shared" si="16"/>
        <v>0</v>
      </c>
      <c r="BG16" s="41">
        <f t="shared" si="17"/>
        <v>0</v>
      </c>
      <c r="BH16" s="37">
        <f t="shared" si="18"/>
        <v>0</v>
      </c>
      <c r="BI16" s="1"/>
      <c r="BJ16" s="15"/>
      <c r="BK16" s="15">
        <f t="shared" si="19"/>
        <v>0</v>
      </c>
      <c r="BL16" s="37">
        <f t="shared" si="20"/>
        <v>0</v>
      </c>
      <c r="BM16" s="15"/>
      <c r="BN16" s="15"/>
    </row>
    <row r="17" spans="1:66" x14ac:dyDescent="0.25">
      <c r="A17" s="30" t="str">
        <f>$A$6&amp;IF(B17="","",COUNTA($B$9:B17)+100)</f>
        <v>SK-</v>
      </c>
      <c r="B17" s="15"/>
      <c r="C17" s="15"/>
      <c r="D17" s="15"/>
      <c r="E17" s="15"/>
      <c r="F17" s="15"/>
      <c r="G17" s="16"/>
      <c r="H17" s="16"/>
      <c r="I17" s="17"/>
      <c r="J17" s="15"/>
      <c r="K17" s="12" t="str">
        <f t="shared" si="2"/>
        <v xml:space="preserve"> </v>
      </c>
      <c r="L17" s="1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5">
        <f t="shared" si="3"/>
        <v>0</v>
      </c>
      <c r="AS17" s="15">
        <f t="shared" si="4"/>
        <v>0</v>
      </c>
      <c r="AT17" s="15">
        <f t="shared" si="5"/>
        <v>0</v>
      </c>
      <c r="AU17" s="15">
        <f t="shared" si="6"/>
        <v>0</v>
      </c>
      <c r="AV17" s="15">
        <f t="shared" si="7"/>
        <v>0</v>
      </c>
      <c r="AW17" s="15">
        <f t="shared" si="8"/>
        <v>0</v>
      </c>
      <c r="AX17" s="15">
        <f t="shared" si="9"/>
        <v>0</v>
      </c>
      <c r="AY17" s="15"/>
      <c r="AZ17" s="15">
        <f t="shared" si="10"/>
        <v>0</v>
      </c>
      <c r="BA17" s="15">
        <f t="shared" si="11"/>
        <v>0</v>
      </c>
      <c r="BB17" s="15">
        <f t="shared" si="12"/>
        <v>0</v>
      </c>
      <c r="BC17" s="15">
        <f t="shared" si="13"/>
        <v>0</v>
      </c>
      <c r="BD17" s="37">
        <f t="shared" si="14"/>
        <v>0</v>
      </c>
      <c r="BE17" s="15">
        <f t="shared" si="15"/>
        <v>0</v>
      </c>
      <c r="BF17" s="15">
        <f t="shared" si="16"/>
        <v>0</v>
      </c>
      <c r="BG17" s="41">
        <f t="shared" si="17"/>
        <v>0</v>
      </c>
      <c r="BH17" s="37">
        <f t="shared" si="18"/>
        <v>0</v>
      </c>
      <c r="BI17" s="1"/>
      <c r="BJ17" s="15"/>
      <c r="BK17" s="15">
        <f t="shared" si="19"/>
        <v>0</v>
      </c>
      <c r="BL17" s="37">
        <f t="shared" si="20"/>
        <v>0</v>
      </c>
      <c r="BM17" s="15"/>
      <c r="BN17" s="15"/>
    </row>
    <row r="18" spans="1:66" x14ac:dyDescent="0.25">
      <c r="A18" s="30" t="str">
        <f>$A$6&amp;IF(B18="","",COUNTA($B$9:B18)+100)</f>
        <v>SK-</v>
      </c>
      <c r="B18" s="15"/>
      <c r="C18" s="15"/>
      <c r="D18" s="15"/>
      <c r="E18" s="15"/>
      <c r="F18" s="15"/>
      <c r="G18" s="16"/>
      <c r="H18" s="16"/>
      <c r="I18" s="17"/>
      <c r="J18" s="15"/>
      <c r="K18" s="12" t="str">
        <f t="shared" si="2"/>
        <v xml:space="preserve"> </v>
      </c>
      <c r="L18" s="1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5">
        <f t="shared" si="3"/>
        <v>0</v>
      </c>
      <c r="AS18" s="15">
        <f t="shared" si="4"/>
        <v>0</v>
      </c>
      <c r="AT18" s="15">
        <f t="shared" si="5"/>
        <v>0</v>
      </c>
      <c r="AU18" s="15">
        <f t="shared" si="6"/>
        <v>0</v>
      </c>
      <c r="AV18" s="15">
        <f t="shared" si="7"/>
        <v>0</v>
      </c>
      <c r="AW18" s="15">
        <f t="shared" si="8"/>
        <v>0</v>
      </c>
      <c r="AX18" s="15">
        <f t="shared" si="9"/>
        <v>0</v>
      </c>
      <c r="AY18" s="15"/>
      <c r="AZ18" s="15">
        <f t="shared" si="10"/>
        <v>0</v>
      </c>
      <c r="BA18" s="15">
        <f t="shared" si="11"/>
        <v>0</v>
      </c>
      <c r="BB18" s="15">
        <f t="shared" si="12"/>
        <v>0</v>
      </c>
      <c r="BC18" s="15">
        <f t="shared" si="13"/>
        <v>0</v>
      </c>
      <c r="BD18" s="37">
        <f t="shared" si="14"/>
        <v>0</v>
      </c>
      <c r="BE18" s="15">
        <f t="shared" si="15"/>
        <v>0</v>
      </c>
      <c r="BF18" s="15">
        <f t="shared" si="16"/>
        <v>0</v>
      </c>
      <c r="BG18" s="41">
        <f t="shared" si="17"/>
        <v>0</v>
      </c>
      <c r="BH18" s="37">
        <f t="shared" si="18"/>
        <v>0</v>
      </c>
      <c r="BI18" s="1"/>
      <c r="BJ18" s="15"/>
      <c r="BK18" s="15">
        <f t="shared" si="19"/>
        <v>0</v>
      </c>
      <c r="BL18" s="37">
        <f t="shared" si="20"/>
        <v>0</v>
      </c>
      <c r="BM18" s="15"/>
      <c r="BN18" s="15"/>
    </row>
    <row r="19" spans="1:66" x14ac:dyDescent="0.25">
      <c r="A19" s="30" t="str">
        <f>$A$6&amp;IF(B19="","",COUNTA($B$9:B19)+100)</f>
        <v>SK-</v>
      </c>
      <c r="B19" s="15"/>
      <c r="C19" s="15"/>
      <c r="D19" s="15"/>
      <c r="E19" s="15"/>
      <c r="F19" s="15"/>
      <c r="G19" s="16"/>
      <c r="H19" s="16"/>
      <c r="I19" s="17"/>
      <c r="J19" s="15"/>
      <c r="K19" s="12" t="str">
        <f t="shared" si="2"/>
        <v xml:space="preserve"> </v>
      </c>
      <c r="L19" s="1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5">
        <f t="shared" si="3"/>
        <v>0</v>
      </c>
      <c r="AS19" s="15">
        <f t="shared" si="4"/>
        <v>0</v>
      </c>
      <c r="AT19" s="15">
        <f t="shared" si="5"/>
        <v>0</v>
      </c>
      <c r="AU19" s="15">
        <f t="shared" si="6"/>
        <v>0</v>
      </c>
      <c r="AV19" s="15">
        <f t="shared" si="7"/>
        <v>0</v>
      </c>
      <c r="AW19" s="15">
        <f t="shared" si="8"/>
        <v>0</v>
      </c>
      <c r="AX19" s="15">
        <f t="shared" si="9"/>
        <v>0</v>
      </c>
      <c r="AY19" s="15"/>
      <c r="AZ19" s="15">
        <f t="shared" si="10"/>
        <v>0</v>
      </c>
      <c r="BA19" s="15">
        <f t="shared" si="11"/>
        <v>0</v>
      </c>
      <c r="BB19" s="15">
        <f t="shared" si="12"/>
        <v>0</v>
      </c>
      <c r="BC19" s="15">
        <f t="shared" si="13"/>
        <v>0</v>
      </c>
      <c r="BD19" s="37">
        <f t="shared" si="14"/>
        <v>0</v>
      </c>
      <c r="BE19" s="15">
        <f t="shared" si="15"/>
        <v>0</v>
      </c>
      <c r="BF19" s="15">
        <f t="shared" si="16"/>
        <v>0</v>
      </c>
      <c r="BG19" s="41">
        <f t="shared" si="17"/>
        <v>0</v>
      </c>
      <c r="BH19" s="37">
        <f t="shared" si="18"/>
        <v>0</v>
      </c>
      <c r="BI19" s="1"/>
      <c r="BJ19" s="15"/>
      <c r="BK19" s="15">
        <f t="shared" si="19"/>
        <v>0</v>
      </c>
      <c r="BL19" s="37">
        <f t="shared" si="20"/>
        <v>0</v>
      </c>
      <c r="BM19" s="15"/>
      <c r="BN19" s="15"/>
    </row>
    <row r="20" spans="1:66" x14ac:dyDescent="0.25">
      <c r="A20" s="30" t="str">
        <f>$A$6&amp;IF(B20="","",COUNTA($B$9:B20)+100)</f>
        <v>SK-</v>
      </c>
      <c r="B20" s="15"/>
      <c r="C20" s="15"/>
      <c r="D20" s="15"/>
      <c r="E20" s="15"/>
      <c r="F20" s="15"/>
      <c r="G20" s="16"/>
      <c r="H20" s="16"/>
      <c r="I20" s="17"/>
      <c r="J20" s="15"/>
      <c r="K20" s="12" t="str">
        <f t="shared" si="2"/>
        <v xml:space="preserve"> </v>
      </c>
      <c r="L20" s="1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5">
        <f t="shared" si="3"/>
        <v>0</v>
      </c>
      <c r="AS20" s="15">
        <f t="shared" si="4"/>
        <v>0</v>
      </c>
      <c r="AT20" s="15">
        <f t="shared" si="5"/>
        <v>0</v>
      </c>
      <c r="AU20" s="15">
        <f t="shared" si="6"/>
        <v>0</v>
      </c>
      <c r="AV20" s="15">
        <f t="shared" si="7"/>
        <v>0</v>
      </c>
      <c r="AW20" s="15">
        <f t="shared" si="8"/>
        <v>0</v>
      </c>
      <c r="AX20" s="15">
        <f t="shared" si="9"/>
        <v>0</v>
      </c>
      <c r="AY20" s="15"/>
      <c r="AZ20" s="15">
        <f t="shared" si="10"/>
        <v>0</v>
      </c>
      <c r="BA20" s="15">
        <f t="shared" si="11"/>
        <v>0</v>
      </c>
      <c r="BB20" s="15">
        <f t="shared" si="12"/>
        <v>0</v>
      </c>
      <c r="BC20" s="15">
        <f t="shared" si="13"/>
        <v>0</v>
      </c>
      <c r="BD20" s="37">
        <f t="shared" si="14"/>
        <v>0</v>
      </c>
      <c r="BE20" s="15">
        <f t="shared" si="15"/>
        <v>0</v>
      </c>
      <c r="BF20" s="15">
        <f t="shared" si="16"/>
        <v>0</v>
      </c>
      <c r="BG20" s="41">
        <f t="shared" si="17"/>
        <v>0</v>
      </c>
      <c r="BH20" s="37">
        <f t="shared" si="18"/>
        <v>0</v>
      </c>
      <c r="BI20" s="1"/>
      <c r="BJ20" s="15"/>
      <c r="BK20" s="15">
        <f t="shared" si="19"/>
        <v>0</v>
      </c>
      <c r="BL20" s="37">
        <f t="shared" si="20"/>
        <v>0</v>
      </c>
      <c r="BM20" s="15"/>
      <c r="BN20" s="15"/>
    </row>
    <row r="21" spans="1:66" x14ac:dyDescent="0.25">
      <c r="A21" s="30" t="str">
        <f>$A$6&amp;IF(B21="","",COUNTA($B$9:B21)+100)</f>
        <v>SK-</v>
      </c>
      <c r="B21" s="15"/>
      <c r="C21" s="15"/>
      <c r="D21" s="15"/>
      <c r="E21" s="15"/>
      <c r="F21" s="15"/>
      <c r="G21" s="16"/>
      <c r="H21" s="16"/>
      <c r="I21" s="17"/>
      <c r="J21" s="15"/>
      <c r="K21" s="12" t="str">
        <f t="shared" si="2"/>
        <v xml:space="preserve"> </v>
      </c>
      <c r="L21" s="1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5">
        <f t="shared" si="3"/>
        <v>0</v>
      </c>
      <c r="AS21" s="15">
        <f t="shared" si="4"/>
        <v>0</v>
      </c>
      <c r="AT21" s="15">
        <f t="shared" si="5"/>
        <v>0</v>
      </c>
      <c r="AU21" s="15">
        <f t="shared" si="6"/>
        <v>0</v>
      </c>
      <c r="AV21" s="15">
        <f t="shared" si="7"/>
        <v>0</v>
      </c>
      <c r="AW21" s="15">
        <f t="shared" si="8"/>
        <v>0</v>
      </c>
      <c r="AX21" s="15">
        <f t="shared" si="9"/>
        <v>0</v>
      </c>
      <c r="AY21" s="15"/>
      <c r="AZ21" s="15">
        <f t="shared" si="10"/>
        <v>0</v>
      </c>
      <c r="BA21" s="15">
        <f t="shared" si="11"/>
        <v>0</v>
      </c>
      <c r="BB21" s="15">
        <f t="shared" si="12"/>
        <v>0</v>
      </c>
      <c r="BC21" s="15">
        <f t="shared" si="13"/>
        <v>0</v>
      </c>
      <c r="BD21" s="37">
        <f t="shared" si="14"/>
        <v>0</v>
      </c>
      <c r="BE21" s="15">
        <f t="shared" si="15"/>
        <v>0</v>
      </c>
      <c r="BF21" s="15">
        <f t="shared" si="16"/>
        <v>0</v>
      </c>
      <c r="BG21" s="41">
        <f t="shared" si="17"/>
        <v>0</v>
      </c>
      <c r="BH21" s="37">
        <f t="shared" si="18"/>
        <v>0</v>
      </c>
      <c r="BI21" s="1"/>
      <c r="BJ21" s="15"/>
      <c r="BK21" s="15">
        <f t="shared" si="19"/>
        <v>0</v>
      </c>
      <c r="BL21" s="37">
        <f t="shared" si="20"/>
        <v>0</v>
      </c>
      <c r="BM21" s="15"/>
      <c r="BN21" s="15"/>
    </row>
  </sheetData>
  <mergeCells count="3">
    <mergeCell ref="A1:AR2"/>
    <mergeCell ref="AZ6:BB6"/>
    <mergeCell ref="BE6:BG6"/>
  </mergeCells>
  <conditionalFormatting sqref="A9:A21">
    <cfRule type="expression" dxfId="51" priority="9">
      <formula>A9="SK-"</formula>
    </cfRule>
  </conditionalFormatting>
  <conditionalFormatting sqref="K9:K21">
    <cfRule type="expression" dxfId="50" priority="10">
      <formula>K9:K21="Emp. Resign this Company"</formula>
    </cfRule>
  </conditionalFormatting>
  <conditionalFormatting sqref="M9:AQ21">
    <cfRule type="expression" dxfId="49" priority="5">
      <formula>M9="P"</formula>
    </cfRule>
    <cfRule type="expression" dxfId="48" priority="6">
      <formula>M9="L"</formula>
    </cfRule>
    <cfRule type="expression" dxfId="47" priority="7">
      <formula>M9="H"</formula>
    </cfRule>
    <cfRule type="expression" dxfId="46" priority="8">
      <formula>M9="A"</formula>
    </cfRule>
    <cfRule type="expression" dxfId="45" priority="13">
      <formula>M$7="sun"</formula>
    </cfRule>
  </conditionalFormatting>
  <conditionalFormatting sqref="AO8">
    <cfRule type="expression" dxfId="44" priority="12">
      <formula>$AO$8=DATEVLUE(1/29/2024)</formula>
    </cfRule>
  </conditionalFormatting>
  <conditionalFormatting sqref="AP8">
    <cfRule type="expression" dxfId="43" priority="11">
      <formula>$AP$8=DATEVALUE("2/30/2024")</formula>
    </cfRule>
  </conditionalFormatting>
  <conditionalFormatting sqref="AR9:BL21">
    <cfRule type="expression" dxfId="42" priority="4">
      <formula>AR9=0</formula>
    </cfRule>
  </conditionalFormatting>
  <conditionalFormatting sqref="BM9:BN21">
    <cfRule type="expression" dxfId="41" priority="1">
      <formula>$BN9="Process"</formula>
    </cfRule>
    <cfRule type="expression" dxfId="40" priority="2">
      <formula>$BN9="Pending"</formula>
    </cfRule>
    <cfRule type="expression" dxfId="39" priority="3">
      <formula>$BN9="done"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'data sheet'!$D$2:$D$4</xm:f>
          </x14:formula1>
          <xm:sqref>BN9:BN21</xm:sqref>
        </x14:dataValidation>
        <x14:dataValidation type="list" allowBlank="1" showInputMessage="1" showErrorMessage="1">
          <x14:formula1>
            <xm:f>'data sheet'!$Q$1:$Q$12</xm:f>
          </x14:formula1>
          <xm:sqref>L5</xm:sqref>
        </x14:dataValidation>
        <x14:dataValidation type="list" allowBlank="1" showInputMessage="1" showErrorMessage="1">
          <x14:formula1>
            <xm:f>'data sheet'!$P$1:$P$99</xm:f>
          </x14:formula1>
          <xm:sqref>M5</xm:sqref>
        </x14:dataValidation>
        <x14:dataValidation type="list" allowBlank="1" showInputMessage="1" showErrorMessage="1">
          <x14:formula1>
            <xm:f>'data sheet'!$C$2:$C$9</xm:f>
          </x14:formula1>
          <xm:sqref>D9:D21</xm:sqref>
        </x14:dataValidation>
        <x14:dataValidation type="list" allowBlank="1" showInputMessage="1" showErrorMessage="1">
          <x14:formula1>
            <xm:f>'data sheet'!$B$2:$B$6</xm:f>
          </x14:formula1>
          <xm:sqref>C9:C21</xm:sqref>
        </x14:dataValidation>
        <x14:dataValidation type="list" allowBlank="1" showInputMessage="1" showErrorMessage="1">
          <x14:formula1>
            <xm:f>'data sheet'!$A$2:$A$14</xm:f>
          </x14:formula1>
          <xm:sqref>B9:B21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21"/>
  <sheetViews>
    <sheetView topLeftCell="A3" workbookViewId="0">
      <selection activeCell="A8" sqref="A8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5.85546875" bestFit="1" customWidth="1"/>
    <col min="4" max="4" width="4.85546875" bestFit="1" customWidth="1"/>
    <col min="5" max="5" width="7.7109375" bestFit="1" customWidth="1"/>
    <col min="6" max="6" width="7.140625" bestFit="1" customWidth="1"/>
    <col min="7" max="7" width="7.28515625" bestFit="1" customWidth="1"/>
    <col min="9" max="9" width="9" bestFit="1" customWidth="1"/>
    <col min="10" max="10" width="9.7109375" bestFit="1" customWidth="1"/>
    <col min="11" max="11" width="11.42578125" bestFit="1" customWidth="1"/>
    <col min="12" max="12" width="7" bestFit="1" customWidth="1"/>
    <col min="13" max="43" width="10.42578125" bestFit="1" customWidth="1"/>
    <col min="44" max="44" width="9.85546875" bestFit="1" customWidth="1"/>
    <col min="45" max="45" width="7.85546875" bestFit="1" customWidth="1"/>
    <col min="46" max="46" width="7.28515625" bestFit="1" customWidth="1"/>
    <col min="47" max="47" width="6.140625" bestFit="1" customWidth="1"/>
    <col min="48" max="48" width="7.42578125" bestFit="1" customWidth="1"/>
    <col min="49" max="49" width="8.140625" bestFit="1" customWidth="1"/>
    <col min="50" max="50" width="12.7109375" bestFit="1" customWidth="1"/>
    <col min="51" max="51" width="11.140625" bestFit="1" customWidth="1"/>
    <col min="52" max="52" width="19.7109375" bestFit="1" customWidth="1"/>
    <col min="53" max="53" width="21.85546875" bestFit="1" customWidth="1"/>
    <col min="54" max="54" width="22" bestFit="1" customWidth="1"/>
    <col min="55" max="55" width="27.5703125" bestFit="1" customWidth="1"/>
    <col min="56" max="56" width="8.7109375" bestFit="1" customWidth="1"/>
    <col min="57" max="57" width="4.5703125" bestFit="1" customWidth="1"/>
    <col min="58" max="58" width="4.7109375" bestFit="1" customWidth="1"/>
    <col min="59" max="59" width="22.42578125" bestFit="1" customWidth="1"/>
    <col min="60" max="60" width="11.7109375" bestFit="1" customWidth="1"/>
    <col min="61" max="61" width="8.5703125" bestFit="1" customWidth="1"/>
    <col min="62" max="62" width="14.28515625" bestFit="1" customWidth="1"/>
    <col min="63" max="64" width="10" bestFit="1" customWidth="1"/>
    <col min="65" max="65" width="15.85546875" bestFit="1" customWidth="1"/>
    <col min="66" max="66" width="6.42578125" bestFit="1" customWidth="1"/>
  </cols>
  <sheetData>
    <row r="1" spans="1:66" ht="30" customHeight="1" x14ac:dyDescent="0.25">
      <c r="A1" s="49" t="str">
        <f>"Attendance for"&amp;" "&amp;TEXT(P4,"mmmm yyyy")&amp;" "&amp;"Month"</f>
        <v>Attendance for October 2025 Month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BB1" s="15"/>
      <c r="BC1" s="42">
        <f>$AY$9/30</f>
        <v>0</v>
      </c>
      <c r="BD1" s="39">
        <f>BC1*30</f>
        <v>0</v>
      </c>
      <c r="BE1" s="39"/>
      <c r="BF1" s="39"/>
    </row>
    <row r="2" spans="1:66" ht="30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X2" s="23" t="s">
        <v>87</v>
      </c>
      <c r="AY2" s="24" t="s">
        <v>40</v>
      </c>
      <c r="AZ2" s="36" t="s">
        <v>70</v>
      </c>
      <c r="BA2" s="36" t="s">
        <v>71</v>
      </c>
      <c r="BB2" s="31" t="s">
        <v>67</v>
      </c>
      <c r="BC2" s="35" t="s">
        <v>68</v>
      </c>
      <c r="BD2" s="32" t="s">
        <v>89</v>
      </c>
      <c r="BE2" s="39"/>
      <c r="BF2" s="39">
        <f>AX9*BC1</f>
        <v>0</v>
      </c>
    </row>
    <row r="3" spans="1:66" x14ac:dyDescent="0.25">
      <c r="AX3" s="37">
        <f>$BC$1*$AV$9</f>
        <v>0</v>
      </c>
      <c r="AY3" s="37">
        <f>$BC$1*$AW$9/2</f>
        <v>0</v>
      </c>
      <c r="AZ3" s="37">
        <f>$BC$1*$AU$9/2</f>
        <v>0</v>
      </c>
      <c r="BA3" s="37">
        <f>$BC$1/8*$BJ$9</f>
        <v>0</v>
      </c>
      <c r="BB3" s="37">
        <f>$BC$1*$AT$9</f>
        <v>0</v>
      </c>
      <c r="BC3" s="15">
        <f>$BC$1*$AS$9</f>
        <v>0</v>
      </c>
      <c r="BD3" s="40">
        <f>(AX3)+(AY3)+(AZ3)+(BC3)</f>
        <v>0</v>
      </c>
      <c r="BE3" s="39"/>
      <c r="BF3" s="39"/>
    </row>
    <row r="4" spans="1:66" x14ac:dyDescent="0.25">
      <c r="L4" s="34" t="s">
        <v>14</v>
      </c>
      <c r="M4" s="34" t="s">
        <v>15</v>
      </c>
      <c r="O4" s="34" t="s">
        <v>0</v>
      </c>
      <c r="P4" s="3">
        <f>DATEVALUE("1"&amp;L5&amp;M5)</f>
        <v>45931</v>
      </c>
      <c r="AX4" s="15"/>
      <c r="AY4" s="15"/>
      <c r="AZ4" s="15"/>
      <c r="BA4" s="15"/>
      <c r="BB4" s="15"/>
      <c r="BC4" s="15"/>
      <c r="BD4" s="32"/>
      <c r="BE4" s="39"/>
      <c r="BF4" s="39"/>
    </row>
    <row r="5" spans="1:66" x14ac:dyDescent="0.25">
      <c r="L5" s="2" t="s">
        <v>11</v>
      </c>
      <c r="M5" s="2">
        <v>2025</v>
      </c>
      <c r="O5" s="34" t="s">
        <v>1</v>
      </c>
      <c r="P5" s="3">
        <f>EOMONTH(P4,0)</f>
        <v>45961</v>
      </c>
      <c r="AX5" s="10"/>
      <c r="AY5" s="10"/>
      <c r="AZ5" s="10"/>
      <c r="BA5" s="10"/>
      <c r="BB5" s="10"/>
      <c r="BC5" s="38"/>
      <c r="BD5" s="10"/>
      <c r="BI5" s="11"/>
      <c r="BJ5" s="11"/>
      <c r="BL5" s="11"/>
    </row>
    <row r="6" spans="1:66" x14ac:dyDescent="0.25">
      <c r="A6" s="32" t="s">
        <v>86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2"/>
      <c r="P6" s="13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X6" s="10"/>
      <c r="AZ6" s="48" t="s">
        <v>44</v>
      </c>
      <c r="BA6" s="48"/>
      <c r="BB6" s="48"/>
      <c r="BE6" s="51" t="s">
        <v>45</v>
      </c>
      <c r="BF6" s="51"/>
      <c r="BG6" s="52"/>
    </row>
    <row r="7" spans="1:6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8" t="str">
        <f t="shared" ref="M7:AQ7" si="0">TEXT(M8,"Ddd")</f>
        <v>Wed</v>
      </c>
      <c r="N7" s="8" t="str">
        <f t="shared" si="0"/>
        <v>Thu</v>
      </c>
      <c r="O7" s="8" t="str">
        <f t="shared" si="0"/>
        <v>Fri</v>
      </c>
      <c r="P7" s="8" t="str">
        <f t="shared" si="0"/>
        <v>Sat</v>
      </c>
      <c r="Q7" s="8" t="str">
        <f t="shared" si="0"/>
        <v>Sun</v>
      </c>
      <c r="R7" s="8" t="str">
        <f t="shared" si="0"/>
        <v>Mon</v>
      </c>
      <c r="S7" s="8" t="str">
        <f t="shared" si="0"/>
        <v>Tue</v>
      </c>
      <c r="T7" s="8" t="str">
        <f t="shared" si="0"/>
        <v>Wed</v>
      </c>
      <c r="U7" s="8" t="str">
        <f t="shared" si="0"/>
        <v>Thu</v>
      </c>
      <c r="V7" s="8" t="str">
        <f t="shared" si="0"/>
        <v>Fri</v>
      </c>
      <c r="W7" s="8" t="str">
        <f t="shared" si="0"/>
        <v>Sat</v>
      </c>
      <c r="X7" s="8" t="str">
        <f t="shared" si="0"/>
        <v>Sun</v>
      </c>
      <c r="Y7" s="8" t="str">
        <f t="shared" si="0"/>
        <v>Mon</v>
      </c>
      <c r="Z7" s="8" t="str">
        <f t="shared" si="0"/>
        <v>Tue</v>
      </c>
      <c r="AA7" s="8" t="str">
        <f t="shared" si="0"/>
        <v>Wed</v>
      </c>
      <c r="AB7" s="8" t="str">
        <f t="shared" si="0"/>
        <v>Thu</v>
      </c>
      <c r="AC7" s="8" t="str">
        <f t="shared" si="0"/>
        <v>Fri</v>
      </c>
      <c r="AD7" s="8" t="str">
        <f t="shared" si="0"/>
        <v>Sat</v>
      </c>
      <c r="AE7" s="8" t="str">
        <f t="shared" si="0"/>
        <v>Sun</v>
      </c>
      <c r="AF7" s="8" t="str">
        <f t="shared" si="0"/>
        <v>Mon</v>
      </c>
      <c r="AG7" s="8" t="str">
        <f t="shared" si="0"/>
        <v>Tue</v>
      </c>
      <c r="AH7" s="8" t="str">
        <f t="shared" si="0"/>
        <v>Wed</v>
      </c>
      <c r="AI7" s="8" t="str">
        <f t="shared" si="0"/>
        <v>Thu</v>
      </c>
      <c r="AJ7" s="8" t="str">
        <f t="shared" si="0"/>
        <v>Fri</v>
      </c>
      <c r="AK7" s="8" t="str">
        <f t="shared" si="0"/>
        <v>Sat</v>
      </c>
      <c r="AL7" s="8" t="str">
        <f t="shared" si="0"/>
        <v>Sun</v>
      </c>
      <c r="AM7" s="8" t="str">
        <f t="shared" si="0"/>
        <v>Mon</v>
      </c>
      <c r="AN7" s="8" t="str">
        <f t="shared" si="0"/>
        <v>Tue</v>
      </c>
      <c r="AO7" s="8" t="str">
        <f t="shared" si="0"/>
        <v>Wed</v>
      </c>
      <c r="AP7" s="8" t="str">
        <f t="shared" si="0"/>
        <v>Thu</v>
      </c>
      <c r="AQ7" s="8" t="str">
        <f t="shared" si="0"/>
        <v>Fri</v>
      </c>
      <c r="AX7" s="10"/>
      <c r="AY7" s="10"/>
      <c r="AZ7" s="28">
        <v>0.03</v>
      </c>
      <c r="BA7" s="28">
        <v>0.05</v>
      </c>
      <c r="BB7" s="28">
        <v>7.0000000000000007E-2</v>
      </c>
      <c r="BC7" s="10"/>
      <c r="BE7" s="29">
        <v>0.12</v>
      </c>
      <c r="BF7" s="29">
        <v>0.02</v>
      </c>
      <c r="BH7" s="10"/>
      <c r="BM7" s="10"/>
      <c r="BN7" s="10"/>
    </row>
    <row r="8" spans="1:66" x14ac:dyDescent="0.25">
      <c r="A8" s="14" t="s">
        <v>16</v>
      </c>
      <c r="B8" s="14" t="s">
        <v>17</v>
      </c>
      <c r="C8" s="14" t="s">
        <v>58</v>
      </c>
      <c r="D8" s="14" t="s">
        <v>59</v>
      </c>
      <c r="E8" s="14" t="s">
        <v>60</v>
      </c>
      <c r="F8" s="14" t="s">
        <v>61</v>
      </c>
      <c r="G8" s="14" t="s">
        <v>18</v>
      </c>
      <c r="H8" s="14" t="s">
        <v>41</v>
      </c>
      <c r="I8" s="14" t="s">
        <v>64</v>
      </c>
      <c r="J8" s="14" t="s">
        <v>63</v>
      </c>
      <c r="K8" s="14" t="s">
        <v>65</v>
      </c>
      <c r="L8" s="14" t="s">
        <v>20</v>
      </c>
      <c r="M8" s="46">
        <f>P4</f>
        <v>45931</v>
      </c>
      <c r="N8" s="46">
        <f t="shared" ref="N8:AM8" si="1">M8+1</f>
        <v>45932</v>
      </c>
      <c r="O8" s="46">
        <f t="shared" si="1"/>
        <v>45933</v>
      </c>
      <c r="P8" s="46">
        <f t="shared" si="1"/>
        <v>45934</v>
      </c>
      <c r="Q8" s="46">
        <f t="shared" si="1"/>
        <v>45935</v>
      </c>
      <c r="R8" s="46">
        <f t="shared" si="1"/>
        <v>45936</v>
      </c>
      <c r="S8" s="46">
        <f t="shared" si="1"/>
        <v>45937</v>
      </c>
      <c r="T8" s="46">
        <f t="shared" si="1"/>
        <v>45938</v>
      </c>
      <c r="U8" s="46">
        <f t="shared" si="1"/>
        <v>45939</v>
      </c>
      <c r="V8" s="46">
        <f t="shared" si="1"/>
        <v>45940</v>
      </c>
      <c r="W8" s="46">
        <f t="shared" si="1"/>
        <v>45941</v>
      </c>
      <c r="X8" s="46">
        <f t="shared" si="1"/>
        <v>45942</v>
      </c>
      <c r="Y8" s="46">
        <f t="shared" si="1"/>
        <v>45943</v>
      </c>
      <c r="Z8" s="46">
        <f t="shared" si="1"/>
        <v>45944</v>
      </c>
      <c r="AA8" s="46">
        <f t="shared" si="1"/>
        <v>45945</v>
      </c>
      <c r="AB8" s="46">
        <f t="shared" si="1"/>
        <v>45946</v>
      </c>
      <c r="AC8" s="46">
        <f t="shared" si="1"/>
        <v>45947</v>
      </c>
      <c r="AD8" s="46">
        <f t="shared" si="1"/>
        <v>45948</v>
      </c>
      <c r="AE8" s="46">
        <f t="shared" si="1"/>
        <v>45949</v>
      </c>
      <c r="AF8" s="46">
        <f t="shared" si="1"/>
        <v>45950</v>
      </c>
      <c r="AG8" s="46">
        <f t="shared" si="1"/>
        <v>45951</v>
      </c>
      <c r="AH8" s="46">
        <f t="shared" si="1"/>
        <v>45952</v>
      </c>
      <c r="AI8" s="46">
        <f t="shared" si="1"/>
        <v>45953</v>
      </c>
      <c r="AJ8" s="46">
        <f t="shared" si="1"/>
        <v>45954</v>
      </c>
      <c r="AK8" s="46">
        <f t="shared" si="1"/>
        <v>45955</v>
      </c>
      <c r="AL8" s="46">
        <f t="shared" si="1"/>
        <v>45956</v>
      </c>
      <c r="AM8" s="46">
        <f t="shared" si="1"/>
        <v>45957</v>
      </c>
      <c r="AN8" s="46">
        <f>IF(AM8&lt;$P$5,AM8+1," ")</f>
        <v>45958</v>
      </c>
      <c r="AO8" s="46">
        <f>IF(AN8&lt;$P$5,AN8+1," ")</f>
        <v>45959</v>
      </c>
      <c r="AP8" s="46">
        <f>IF(AO8&lt;$P$5,AO8+1," ")</f>
        <v>45960</v>
      </c>
      <c r="AQ8" s="46">
        <f>IF(AP8&lt;$P$5,AP8+1," ")</f>
        <v>45961</v>
      </c>
      <c r="AR8" s="21" t="s">
        <v>42</v>
      </c>
      <c r="AS8" s="18" t="s">
        <v>25</v>
      </c>
      <c r="AT8" s="22" t="s">
        <v>38</v>
      </c>
      <c r="AU8" s="23" t="s">
        <v>39</v>
      </c>
      <c r="AV8" s="23" t="s">
        <v>87</v>
      </c>
      <c r="AW8" s="24" t="s">
        <v>40</v>
      </c>
      <c r="AX8" s="25" t="s">
        <v>43</v>
      </c>
      <c r="AY8" s="4" t="s">
        <v>46</v>
      </c>
      <c r="AZ8" s="4" t="s">
        <v>49</v>
      </c>
      <c r="BA8" s="26" t="s">
        <v>50</v>
      </c>
      <c r="BB8" s="8" t="s">
        <v>51</v>
      </c>
      <c r="BC8" s="27" t="s">
        <v>52</v>
      </c>
      <c r="BD8" s="20" t="s">
        <v>53</v>
      </c>
      <c r="BE8" s="7" t="s">
        <v>54</v>
      </c>
      <c r="BF8" s="9" t="s">
        <v>69</v>
      </c>
      <c r="BG8" s="45" t="s">
        <v>95</v>
      </c>
      <c r="BH8" s="27" t="s">
        <v>55</v>
      </c>
      <c r="BI8" s="7" t="s">
        <v>48</v>
      </c>
      <c r="BJ8" s="5" t="s">
        <v>62</v>
      </c>
      <c r="BK8" s="6" t="s">
        <v>47</v>
      </c>
      <c r="BL8" s="19" t="s">
        <v>56</v>
      </c>
      <c r="BM8" s="20" t="s">
        <v>57</v>
      </c>
      <c r="BN8" s="44" t="s">
        <v>91</v>
      </c>
    </row>
    <row r="9" spans="1:66" x14ac:dyDescent="0.25">
      <c r="A9" s="30" t="str">
        <f>$A$6&amp;IF(B9="","",COUNTA($B$9:B9)+100)</f>
        <v>SK-</v>
      </c>
      <c r="B9" s="15"/>
      <c r="C9" s="15"/>
      <c r="D9" s="15"/>
      <c r="E9" s="15"/>
      <c r="F9" s="15"/>
      <c r="G9" s="16"/>
      <c r="H9" s="16"/>
      <c r="I9" s="17"/>
      <c r="J9" s="17"/>
      <c r="K9" s="12" t="str">
        <f>IF($J9=""," ","Emp. Resign this Company")</f>
        <v xml:space="preserve"> </v>
      </c>
      <c r="L9" s="1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5">
        <f>COUNTA(M9:AQ9)</f>
        <v>0</v>
      </c>
      <c r="AS9" s="15">
        <f>COUNTIF(M9:AQ9,"P")</f>
        <v>0</v>
      </c>
      <c r="AT9" s="15">
        <f>COUNTIF(M9:AQ9,"A")</f>
        <v>0</v>
      </c>
      <c r="AU9" s="15">
        <f>COUNTIF(M9:AQ9,"L")</f>
        <v>0</v>
      </c>
      <c r="AV9" s="15">
        <f>COUNTIF(M9:AQ9,"SUN")</f>
        <v>0</v>
      </c>
      <c r="AW9" s="15">
        <f>COUNTIF(M9:AQ9,"H")</f>
        <v>0</v>
      </c>
      <c r="AX9" s="15">
        <f>($AR9-$AT9)-($AW9/2)-($AU9/2)</f>
        <v>0</v>
      </c>
      <c r="AY9" s="15"/>
      <c r="AZ9" s="15">
        <f>$AY9*$AZ$7</f>
        <v>0</v>
      </c>
      <c r="BA9" s="15">
        <f>$AY9*$BA$7</f>
        <v>0</v>
      </c>
      <c r="BB9" s="15">
        <f>$AY9*$BB$7</f>
        <v>0</v>
      </c>
      <c r="BC9" s="15">
        <f>$AZ9+$BA9+$BB9</f>
        <v>0</v>
      </c>
      <c r="BD9" s="37">
        <f>($AY9+$BC9)</f>
        <v>0</v>
      </c>
      <c r="BE9" s="15">
        <f>$AY9*$BE$7</f>
        <v>0</v>
      </c>
      <c r="BF9" s="15">
        <f>$AY9*$BF$7</f>
        <v>0</v>
      </c>
      <c r="BG9" s="41">
        <f>$BC$1*$AT9</f>
        <v>0</v>
      </c>
      <c r="BH9" s="37">
        <f>$BE9+$BF9+$BG9</f>
        <v>0</v>
      </c>
      <c r="BI9" s="1"/>
      <c r="BJ9" s="15"/>
      <c r="BK9" s="15">
        <f>IF($BA$4="",$AY9/30/8*$BJ9,$BA4*$BJ9)</f>
        <v>0</v>
      </c>
      <c r="BL9" s="37">
        <f>($BD9-$BH9)-$BI9</f>
        <v>0</v>
      </c>
      <c r="BM9" s="17"/>
      <c r="BN9" s="15"/>
    </row>
    <row r="10" spans="1:66" x14ac:dyDescent="0.25">
      <c r="A10" s="30" t="str">
        <f>$A$6&amp;IF(B10="","",COUNTA($B$9:B10)+100)</f>
        <v>SK-</v>
      </c>
      <c r="B10" s="15"/>
      <c r="C10" s="15"/>
      <c r="D10" s="15"/>
      <c r="E10" s="15"/>
      <c r="F10" s="15"/>
      <c r="G10" s="16"/>
      <c r="H10" s="16"/>
      <c r="I10" s="17"/>
      <c r="J10" s="17"/>
      <c r="K10" s="12" t="str">
        <f t="shared" ref="K10:K21" si="2">IF($J10=""," ","Emp. Resign this Company")</f>
        <v xml:space="preserve"> </v>
      </c>
      <c r="L10" s="1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5">
        <f t="shared" ref="AR10:AR21" si="3">COUNTA(M10:AQ10)</f>
        <v>0</v>
      </c>
      <c r="AS10" s="15">
        <f t="shared" ref="AS10:AS21" si="4">COUNTIF(M10:AQ10,"P")</f>
        <v>0</v>
      </c>
      <c r="AT10" s="15">
        <f t="shared" ref="AT10:AT21" si="5">COUNTIF(M10:AQ10,"A")</f>
        <v>0</v>
      </c>
      <c r="AU10" s="15">
        <f t="shared" ref="AU10:AU21" si="6">COUNTIF(M10:AQ10,"L")</f>
        <v>0</v>
      </c>
      <c r="AV10" s="15">
        <f t="shared" ref="AV10:AV21" si="7">COUNTIF(M10:AQ10,"SUN")</f>
        <v>0</v>
      </c>
      <c r="AW10" s="15">
        <f t="shared" ref="AW10:AW21" si="8">COUNTIF(M10:AQ10,"H")</f>
        <v>0</v>
      </c>
      <c r="AX10" s="15">
        <f t="shared" ref="AX10:AX21" si="9">($AR10-$AT10)-($AW10/2)-($AU10/2)</f>
        <v>0</v>
      </c>
      <c r="AY10" s="15"/>
      <c r="AZ10" s="15">
        <f t="shared" ref="AZ10:AZ21" si="10">$AY10*$AZ$7</f>
        <v>0</v>
      </c>
      <c r="BA10" s="15">
        <f t="shared" ref="BA10:BA21" si="11">$AY10*$BA$7</f>
        <v>0</v>
      </c>
      <c r="BB10" s="15">
        <f t="shared" ref="BB10:BB21" si="12">$AY10*$BB$7</f>
        <v>0</v>
      </c>
      <c r="BC10" s="15">
        <f t="shared" ref="BC10:BC21" si="13">$AZ10+$BA10+$BB10</f>
        <v>0</v>
      </c>
      <c r="BD10" s="37">
        <f t="shared" ref="BD10:BD21" si="14">($AY10+$BC10)</f>
        <v>0</v>
      </c>
      <c r="BE10" s="15">
        <f t="shared" ref="BE10:BE21" si="15">$AY10*$BE$7</f>
        <v>0</v>
      </c>
      <c r="BF10" s="15">
        <f t="shared" ref="BF10:BF21" si="16">$AY10*$BF$7</f>
        <v>0</v>
      </c>
      <c r="BG10" s="41">
        <f t="shared" ref="BG10:BG21" si="17">$BC$1*$AT10</f>
        <v>0</v>
      </c>
      <c r="BH10" s="37">
        <f t="shared" ref="BH10:BH21" si="18">$BE10+$BF10+$BG10</f>
        <v>0</v>
      </c>
      <c r="BI10" s="1"/>
      <c r="BJ10" s="15"/>
      <c r="BK10" s="15">
        <f t="shared" ref="BK10:BK21" si="19">IF($BA$4="",$AY10/30/8*$BJ10,$BA5*$BJ10)</f>
        <v>0</v>
      </c>
      <c r="BL10" s="37">
        <f t="shared" ref="BL10:BL21" si="20">($BD10-$BH10)-$BI10</f>
        <v>0</v>
      </c>
      <c r="BM10" s="15"/>
      <c r="BN10" s="15"/>
    </row>
    <row r="11" spans="1:66" x14ac:dyDescent="0.25">
      <c r="A11" s="30" t="str">
        <f>$A$6&amp;IF(B11="","",COUNTA($B$9:B11)+100)</f>
        <v>SK-</v>
      </c>
      <c r="B11" s="15"/>
      <c r="C11" s="15"/>
      <c r="D11" s="15"/>
      <c r="E11" s="15"/>
      <c r="F11" s="15"/>
      <c r="G11" s="16"/>
      <c r="H11" s="16"/>
      <c r="I11" s="17"/>
      <c r="J11" s="15"/>
      <c r="K11" s="12" t="str">
        <f t="shared" si="2"/>
        <v xml:space="preserve"> </v>
      </c>
      <c r="L11" s="1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5">
        <f t="shared" si="3"/>
        <v>0</v>
      </c>
      <c r="AS11" s="15">
        <f t="shared" si="4"/>
        <v>0</v>
      </c>
      <c r="AT11" s="15">
        <f t="shared" si="5"/>
        <v>0</v>
      </c>
      <c r="AU11" s="15">
        <f t="shared" si="6"/>
        <v>0</v>
      </c>
      <c r="AV11" s="15">
        <f t="shared" si="7"/>
        <v>0</v>
      </c>
      <c r="AW11" s="15">
        <f t="shared" si="8"/>
        <v>0</v>
      </c>
      <c r="AX11" s="15">
        <f t="shared" si="9"/>
        <v>0</v>
      </c>
      <c r="AY11" s="15"/>
      <c r="AZ11" s="15">
        <f t="shared" si="10"/>
        <v>0</v>
      </c>
      <c r="BA11" s="15">
        <f t="shared" si="11"/>
        <v>0</v>
      </c>
      <c r="BB11" s="15">
        <f t="shared" si="12"/>
        <v>0</v>
      </c>
      <c r="BC11" s="15">
        <f t="shared" si="13"/>
        <v>0</v>
      </c>
      <c r="BD11" s="37">
        <f t="shared" si="14"/>
        <v>0</v>
      </c>
      <c r="BE11" s="15">
        <f t="shared" si="15"/>
        <v>0</v>
      </c>
      <c r="BF11" s="15">
        <f t="shared" si="16"/>
        <v>0</v>
      </c>
      <c r="BG11" s="41">
        <f t="shared" si="17"/>
        <v>0</v>
      </c>
      <c r="BH11" s="37">
        <f t="shared" si="18"/>
        <v>0</v>
      </c>
      <c r="BI11" s="1"/>
      <c r="BJ11" s="15"/>
      <c r="BK11" s="15">
        <f t="shared" si="19"/>
        <v>0</v>
      </c>
      <c r="BL11" s="37">
        <f t="shared" si="20"/>
        <v>0</v>
      </c>
      <c r="BM11" s="15"/>
      <c r="BN11" s="15"/>
    </row>
    <row r="12" spans="1:66" x14ac:dyDescent="0.25">
      <c r="A12" s="30" t="str">
        <f>$A$6&amp;IF(B12="","",COUNTA($B$9:B12)+100)</f>
        <v>SK-</v>
      </c>
      <c r="B12" s="15"/>
      <c r="C12" s="15"/>
      <c r="D12" s="15"/>
      <c r="E12" s="15"/>
      <c r="F12" s="15"/>
      <c r="G12" s="16"/>
      <c r="H12" s="16"/>
      <c r="I12" s="17"/>
      <c r="J12" s="15"/>
      <c r="K12" s="12" t="str">
        <f t="shared" si="2"/>
        <v xml:space="preserve"> </v>
      </c>
      <c r="L12" s="1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5">
        <f t="shared" si="3"/>
        <v>0</v>
      </c>
      <c r="AS12" s="15">
        <f t="shared" si="4"/>
        <v>0</v>
      </c>
      <c r="AT12" s="15">
        <f t="shared" si="5"/>
        <v>0</v>
      </c>
      <c r="AU12" s="15">
        <f t="shared" si="6"/>
        <v>0</v>
      </c>
      <c r="AV12" s="15">
        <f t="shared" si="7"/>
        <v>0</v>
      </c>
      <c r="AW12" s="15">
        <f>COUNTIF(M12:AQ12,"H")</f>
        <v>0</v>
      </c>
      <c r="AX12" s="15">
        <f t="shared" si="9"/>
        <v>0</v>
      </c>
      <c r="AY12" s="15"/>
      <c r="AZ12" s="15">
        <f t="shared" si="10"/>
        <v>0</v>
      </c>
      <c r="BA12" s="15">
        <f t="shared" si="11"/>
        <v>0</v>
      </c>
      <c r="BB12" s="15">
        <f t="shared" si="12"/>
        <v>0</v>
      </c>
      <c r="BC12" s="15">
        <f t="shared" si="13"/>
        <v>0</v>
      </c>
      <c r="BD12" s="37">
        <f t="shared" si="14"/>
        <v>0</v>
      </c>
      <c r="BE12" s="15">
        <f t="shared" si="15"/>
        <v>0</v>
      </c>
      <c r="BF12" s="15">
        <f t="shared" si="16"/>
        <v>0</v>
      </c>
      <c r="BG12" s="41">
        <f t="shared" si="17"/>
        <v>0</v>
      </c>
      <c r="BH12" s="37">
        <f t="shared" si="18"/>
        <v>0</v>
      </c>
      <c r="BI12" s="1"/>
      <c r="BJ12" s="15"/>
      <c r="BK12" s="15">
        <f t="shared" si="19"/>
        <v>0</v>
      </c>
      <c r="BL12" s="37">
        <f t="shared" si="20"/>
        <v>0</v>
      </c>
      <c r="BM12" s="15"/>
      <c r="BN12" s="15"/>
    </row>
    <row r="13" spans="1:66" x14ac:dyDescent="0.25">
      <c r="A13" s="30" t="str">
        <f>$A$6&amp;IF(B13="","",COUNTA($B$9:B13)+100)</f>
        <v>SK-</v>
      </c>
      <c r="B13" s="15"/>
      <c r="C13" s="15"/>
      <c r="D13" s="15"/>
      <c r="E13" s="15"/>
      <c r="F13" s="15"/>
      <c r="G13" s="16"/>
      <c r="H13" s="16"/>
      <c r="I13" s="17"/>
      <c r="J13" s="17"/>
      <c r="K13" s="12" t="str">
        <f t="shared" si="2"/>
        <v xml:space="preserve"> </v>
      </c>
      <c r="L13" s="1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5">
        <f t="shared" si="3"/>
        <v>0</v>
      </c>
      <c r="AS13" s="15">
        <f t="shared" si="4"/>
        <v>0</v>
      </c>
      <c r="AT13" s="15">
        <f t="shared" si="5"/>
        <v>0</v>
      </c>
      <c r="AU13" s="15">
        <f t="shared" si="6"/>
        <v>0</v>
      </c>
      <c r="AV13" s="15">
        <f t="shared" si="7"/>
        <v>0</v>
      </c>
      <c r="AW13" s="15">
        <f t="shared" si="8"/>
        <v>0</v>
      </c>
      <c r="AX13" s="15">
        <f t="shared" si="9"/>
        <v>0</v>
      </c>
      <c r="AY13" s="15"/>
      <c r="AZ13" s="15">
        <f t="shared" si="10"/>
        <v>0</v>
      </c>
      <c r="BA13" s="15">
        <f t="shared" si="11"/>
        <v>0</v>
      </c>
      <c r="BB13" s="15">
        <f t="shared" si="12"/>
        <v>0</v>
      </c>
      <c r="BC13" s="15">
        <f t="shared" si="13"/>
        <v>0</v>
      </c>
      <c r="BD13" s="37">
        <f t="shared" si="14"/>
        <v>0</v>
      </c>
      <c r="BE13" s="15">
        <f t="shared" si="15"/>
        <v>0</v>
      </c>
      <c r="BF13" s="15">
        <f t="shared" si="16"/>
        <v>0</v>
      </c>
      <c r="BG13" s="41">
        <f t="shared" si="17"/>
        <v>0</v>
      </c>
      <c r="BH13" s="37">
        <f t="shared" si="18"/>
        <v>0</v>
      </c>
      <c r="BI13" s="1"/>
      <c r="BJ13" s="15"/>
      <c r="BK13" s="15">
        <f t="shared" si="19"/>
        <v>0</v>
      </c>
      <c r="BL13" s="37">
        <f t="shared" si="20"/>
        <v>0</v>
      </c>
      <c r="BM13" s="15"/>
      <c r="BN13" s="15"/>
    </row>
    <row r="14" spans="1:66" x14ac:dyDescent="0.25">
      <c r="A14" s="30" t="str">
        <f>$A$6&amp;IF(B14="","",COUNTA($B$9:B14)+100)</f>
        <v>SK-</v>
      </c>
      <c r="B14" s="15"/>
      <c r="C14" s="15"/>
      <c r="D14" s="15"/>
      <c r="E14" s="15"/>
      <c r="F14" s="15"/>
      <c r="G14" s="16"/>
      <c r="H14" s="16"/>
      <c r="I14" s="17"/>
      <c r="J14" s="15"/>
      <c r="K14" s="12" t="str">
        <f t="shared" si="2"/>
        <v xml:space="preserve"> </v>
      </c>
      <c r="L14" s="1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5">
        <f t="shared" si="3"/>
        <v>0</v>
      </c>
      <c r="AS14" s="15">
        <f t="shared" si="4"/>
        <v>0</v>
      </c>
      <c r="AT14" s="15">
        <f t="shared" si="5"/>
        <v>0</v>
      </c>
      <c r="AU14" s="15">
        <f t="shared" si="6"/>
        <v>0</v>
      </c>
      <c r="AV14" s="15">
        <f t="shared" si="7"/>
        <v>0</v>
      </c>
      <c r="AW14" s="15">
        <f t="shared" si="8"/>
        <v>0</v>
      </c>
      <c r="AX14" s="15">
        <f t="shared" si="9"/>
        <v>0</v>
      </c>
      <c r="AY14" s="15"/>
      <c r="AZ14" s="15">
        <f t="shared" si="10"/>
        <v>0</v>
      </c>
      <c r="BA14" s="15">
        <f t="shared" si="11"/>
        <v>0</v>
      </c>
      <c r="BB14" s="15">
        <f t="shared" si="12"/>
        <v>0</v>
      </c>
      <c r="BC14" s="15">
        <f t="shared" si="13"/>
        <v>0</v>
      </c>
      <c r="BD14" s="37">
        <f t="shared" si="14"/>
        <v>0</v>
      </c>
      <c r="BE14" s="15">
        <f t="shared" si="15"/>
        <v>0</v>
      </c>
      <c r="BF14" s="15">
        <f t="shared" si="16"/>
        <v>0</v>
      </c>
      <c r="BG14" s="41">
        <f t="shared" si="17"/>
        <v>0</v>
      </c>
      <c r="BH14" s="37">
        <f t="shared" si="18"/>
        <v>0</v>
      </c>
      <c r="BI14" s="1"/>
      <c r="BJ14" s="15"/>
      <c r="BK14" s="15">
        <f t="shared" si="19"/>
        <v>0</v>
      </c>
      <c r="BL14" s="37">
        <f t="shared" si="20"/>
        <v>0</v>
      </c>
      <c r="BM14" s="15"/>
      <c r="BN14" s="15"/>
    </row>
    <row r="15" spans="1:66" x14ac:dyDescent="0.25">
      <c r="A15" s="30" t="str">
        <f>$A$6&amp;IF(B15="","",COUNTA($B$9:B15)+100)</f>
        <v>SK-</v>
      </c>
      <c r="B15" s="15"/>
      <c r="C15" s="15"/>
      <c r="D15" s="15"/>
      <c r="E15" s="15"/>
      <c r="F15" s="15"/>
      <c r="G15" s="16"/>
      <c r="H15" s="16"/>
      <c r="I15" s="17"/>
      <c r="J15" s="15"/>
      <c r="K15" s="12" t="str">
        <f t="shared" si="2"/>
        <v xml:space="preserve"> </v>
      </c>
      <c r="L15" s="1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5">
        <f t="shared" si="3"/>
        <v>0</v>
      </c>
      <c r="AS15" s="15">
        <f t="shared" si="4"/>
        <v>0</v>
      </c>
      <c r="AT15" s="15">
        <f t="shared" si="5"/>
        <v>0</v>
      </c>
      <c r="AU15" s="15">
        <f t="shared" si="6"/>
        <v>0</v>
      </c>
      <c r="AV15" s="15">
        <f t="shared" si="7"/>
        <v>0</v>
      </c>
      <c r="AW15" s="15">
        <f t="shared" si="8"/>
        <v>0</v>
      </c>
      <c r="AX15" s="15">
        <f t="shared" si="9"/>
        <v>0</v>
      </c>
      <c r="AY15" s="15"/>
      <c r="AZ15" s="15">
        <f t="shared" si="10"/>
        <v>0</v>
      </c>
      <c r="BA15" s="15">
        <f t="shared" si="11"/>
        <v>0</v>
      </c>
      <c r="BB15" s="15">
        <f t="shared" si="12"/>
        <v>0</v>
      </c>
      <c r="BC15" s="15">
        <f t="shared" si="13"/>
        <v>0</v>
      </c>
      <c r="BD15" s="37">
        <f t="shared" si="14"/>
        <v>0</v>
      </c>
      <c r="BE15" s="15">
        <f t="shared" si="15"/>
        <v>0</v>
      </c>
      <c r="BF15" s="15">
        <f t="shared" si="16"/>
        <v>0</v>
      </c>
      <c r="BG15" s="41">
        <f t="shared" si="17"/>
        <v>0</v>
      </c>
      <c r="BH15" s="37">
        <f t="shared" si="18"/>
        <v>0</v>
      </c>
      <c r="BI15" s="1"/>
      <c r="BJ15" s="15"/>
      <c r="BK15" s="15">
        <f t="shared" si="19"/>
        <v>0</v>
      </c>
      <c r="BL15" s="37">
        <f t="shared" si="20"/>
        <v>0</v>
      </c>
      <c r="BM15" s="15"/>
      <c r="BN15" s="15"/>
    </row>
    <row r="16" spans="1:66" x14ac:dyDescent="0.25">
      <c r="A16" s="30" t="str">
        <f>$A$6&amp;IF(B16="","",COUNTA($B$9:B16)+100)</f>
        <v>SK-</v>
      </c>
      <c r="B16" s="15"/>
      <c r="C16" s="15"/>
      <c r="D16" s="15"/>
      <c r="E16" s="15"/>
      <c r="F16" s="15"/>
      <c r="G16" s="16"/>
      <c r="H16" s="16"/>
      <c r="I16" s="17"/>
      <c r="J16" s="15"/>
      <c r="K16" s="12" t="str">
        <f t="shared" si="2"/>
        <v xml:space="preserve"> </v>
      </c>
      <c r="L16" s="1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5">
        <f t="shared" si="3"/>
        <v>0</v>
      </c>
      <c r="AS16" s="15">
        <f t="shared" si="4"/>
        <v>0</v>
      </c>
      <c r="AT16" s="15">
        <f t="shared" si="5"/>
        <v>0</v>
      </c>
      <c r="AU16" s="15">
        <f t="shared" si="6"/>
        <v>0</v>
      </c>
      <c r="AV16" s="15">
        <f t="shared" si="7"/>
        <v>0</v>
      </c>
      <c r="AW16" s="15">
        <f t="shared" si="8"/>
        <v>0</v>
      </c>
      <c r="AX16" s="15">
        <f t="shared" si="9"/>
        <v>0</v>
      </c>
      <c r="AY16" s="15"/>
      <c r="AZ16" s="15">
        <f t="shared" si="10"/>
        <v>0</v>
      </c>
      <c r="BA16" s="15">
        <f t="shared" si="11"/>
        <v>0</v>
      </c>
      <c r="BB16" s="15">
        <f t="shared" si="12"/>
        <v>0</v>
      </c>
      <c r="BC16" s="15">
        <f t="shared" si="13"/>
        <v>0</v>
      </c>
      <c r="BD16" s="37">
        <f t="shared" si="14"/>
        <v>0</v>
      </c>
      <c r="BE16" s="15">
        <f t="shared" si="15"/>
        <v>0</v>
      </c>
      <c r="BF16" s="15">
        <f t="shared" si="16"/>
        <v>0</v>
      </c>
      <c r="BG16" s="41">
        <f t="shared" si="17"/>
        <v>0</v>
      </c>
      <c r="BH16" s="37">
        <f t="shared" si="18"/>
        <v>0</v>
      </c>
      <c r="BI16" s="1"/>
      <c r="BJ16" s="15"/>
      <c r="BK16" s="15">
        <f t="shared" si="19"/>
        <v>0</v>
      </c>
      <c r="BL16" s="37">
        <f t="shared" si="20"/>
        <v>0</v>
      </c>
      <c r="BM16" s="15"/>
      <c r="BN16" s="15"/>
    </row>
    <row r="17" spans="1:66" x14ac:dyDescent="0.25">
      <c r="A17" s="30" t="str">
        <f>$A$6&amp;IF(B17="","",COUNTA($B$9:B17)+100)</f>
        <v>SK-</v>
      </c>
      <c r="B17" s="15"/>
      <c r="C17" s="15"/>
      <c r="D17" s="15"/>
      <c r="E17" s="15"/>
      <c r="F17" s="15"/>
      <c r="G17" s="16"/>
      <c r="H17" s="16"/>
      <c r="I17" s="17"/>
      <c r="J17" s="15"/>
      <c r="K17" s="12" t="str">
        <f t="shared" si="2"/>
        <v xml:space="preserve"> </v>
      </c>
      <c r="L17" s="1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5">
        <f t="shared" si="3"/>
        <v>0</v>
      </c>
      <c r="AS17" s="15">
        <f t="shared" si="4"/>
        <v>0</v>
      </c>
      <c r="AT17" s="15">
        <f t="shared" si="5"/>
        <v>0</v>
      </c>
      <c r="AU17" s="15">
        <f t="shared" si="6"/>
        <v>0</v>
      </c>
      <c r="AV17" s="15">
        <f t="shared" si="7"/>
        <v>0</v>
      </c>
      <c r="AW17" s="15">
        <f t="shared" si="8"/>
        <v>0</v>
      </c>
      <c r="AX17" s="15">
        <f t="shared" si="9"/>
        <v>0</v>
      </c>
      <c r="AY17" s="15"/>
      <c r="AZ17" s="15">
        <f t="shared" si="10"/>
        <v>0</v>
      </c>
      <c r="BA17" s="15">
        <f t="shared" si="11"/>
        <v>0</v>
      </c>
      <c r="BB17" s="15">
        <f t="shared" si="12"/>
        <v>0</v>
      </c>
      <c r="BC17" s="15">
        <f t="shared" si="13"/>
        <v>0</v>
      </c>
      <c r="BD17" s="37">
        <f t="shared" si="14"/>
        <v>0</v>
      </c>
      <c r="BE17" s="15">
        <f t="shared" si="15"/>
        <v>0</v>
      </c>
      <c r="BF17" s="15">
        <f t="shared" si="16"/>
        <v>0</v>
      </c>
      <c r="BG17" s="41">
        <f t="shared" si="17"/>
        <v>0</v>
      </c>
      <c r="BH17" s="37">
        <f t="shared" si="18"/>
        <v>0</v>
      </c>
      <c r="BI17" s="1"/>
      <c r="BJ17" s="15"/>
      <c r="BK17" s="15">
        <f t="shared" si="19"/>
        <v>0</v>
      </c>
      <c r="BL17" s="37">
        <f t="shared" si="20"/>
        <v>0</v>
      </c>
      <c r="BM17" s="15"/>
      <c r="BN17" s="15"/>
    </row>
    <row r="18" spans="1:66" x14ac:dyDescent="0.25">
      <c r="A18" s="30" t="str">
        <f>$A$6&amp;IF(B18="","",COUNTA($B$9:B18)+100)</f>
        <v>SK-</v>
      </c>
      <c r="B18" s="15"/>
      <c r="C18" s="15"/>
      <c r="D18" s="15"/>
      <c r="E18" s="15"/>
      <c r="F18" s="15"/>
      <c r="G18" s="16"/>
      <c r="H18" s="16"/>
      <c r="I18" s="17"/>
      <c r="J18" s="15"/>
      <c r="K18" s="12" t="str">
        <f t="shared" si="2"/>
        <v xml:space="preserve"> </v>
      </c>
      <c r="L18" s="1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5">
        <f t="shared" si="3"/>
        <v>0</v>
      </c>
      <c r="AS18" s="15">
        <f t="shared" si="4"/>
        <v>0</v>
      </c>
      <c r="AT18" s="15">
        <f t="shared" si="5"/>
        <v>0</v>
      </c>
      <c r="AU18" s="15">
        <f t="shared" si="6"/>
        <v>0</v>
      </c>
      <c r="AV18" s="15">
        <f t="shared" si="7"/>
        <v>0</v>
      </c>
      <c r="AW18" s="15">
        <f t="shared" si="8"/>
        <v>0</v>
      </c>
      <c r="AX18" s="15">
        <f t="shared" si="9"/>
        <v>0</v>
      </c>
      <c r="AY18" s="15"/>
      <c r="AZ18" s="15">
        <f t="shared" si="10"/>
        <v>0</v>
      </c>
      <c r="BA18" s="15">
        <f t="shared" si="11"/>
        <v>0</v>
      </c>
      <c r="BB18" s="15">
        <f t="shared" si="12"/>
        <v>0</v>
      </c>
      <c r="BC18" s="15">
        <f t="shared" si="13"/>
        <v>0</v>
      </c>
      <c r="BD18" s="37">
        <f t="shared" si="14"/>
        <v>0</v>
      </c>
      <c r="BE18" s="15">
        <f t="shared" si="15"/>
        <v>0</v>
      </c>
      <c r="BF18" s="15">
        <f t="shared" si="16"/>
        <v>0</v>
      </c>
      <c r="BG18" s="41">
        <f t="shared" si="17"/>
        <v>0</v>
      </c>
      <c r="BH18" s="37">
        <f t="shared" si="18"/>
        <v>0</v>
      </c>
      <c r="BI18" s="1"/>
      <c r="BJ18" s="15"/>
      <c r="BK18" s="15">
        <f t="shared" si="19"/>
        <v>0</v>
      </c>
      <c r="BL18" s="37">
        <f t="shared" si="20"/>
        <v>0</v>
      </c>
      <c r="BM18" s="15"/>
      <c r="BN18" s="15"/>
    </row>
    <row r="19" spans="1:66" x14ac:dyDescent="0.25">
      <c r="A19" s="30" t="str">
        <f>$A$6&amp;IF(B19="","",COUNTA($B$9:B19)+100)</f>
        <v>SK-</v>
      </c>
      <c r="B19" s="15"/>
      <c r="C19" s="15"/>
      <c r="D19" s="15"/>
      <c r="E19" s="15"/>
      <c r="F19" s="15"/>
      <c r="G19" s="16"/>
      <c r="H19" s="16"/>
      <c r="I19" s="17"/>
      <c r="J19" s="15"/>
      <c r="K19" s="12" t="str">
        <f t="shared" si="2"/>
        <v xml:space="preserve"> </v>
      </c>
      <c r="L19" s="1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5">
        <f t="shared" si="3"/>
        <v>0</v>
      </c>
      <c r="AS19" s="15">
        <f t="shared" si="4"/>
        <v>0</v>
      </c>
      <c r="AT19" s="15">
        <f t="shared" si="5"/>
        <v>0</v>
      </c>
      <c r="AU19" s="15">
        <f t="shared" si="6"/>
        <v>0</v>
      </c>
      <c r="AV19" s="15">
        <f t="shared" si="7"/>
        <v>0</v>
      </c>
      <c r="AW19" s="15">
        <f t="shared" si="8"/>
        <v>0</v>
      </c>
      <c r="AX19" s="15">
        <f t="shared" si="9"/>
        <v>0</v>
      </c>
      <c r="AY19" s="15"/>
      <c r="AZ19" s="15">
        <f t="shared" si="10"/>
        <v>0</v>
      </c>
      <c r="BA19" s="15">
        <f t="shared" si="11"/>
        <v>0</v>
      </c>
      <c r="BB19" s="15">
        <f t="shared" si="12"/>
        <v>0</v>
      </c>
      <c r="BC19" s="15">
        <f t="shared" si="13"/>
        <v>0</v>
      </c>
      <c r="BD19" s="37">
        <f t="shared" si="14"/>
        <v>0</v>
      </c>
      <c r="BE19" s="15">
        <f t="shared" si="15"/>
        <v>0</v>
      </c>
      <c r="BF19" s="15">
        <f t="shared" si="16"/>
        <v>0</v>
      </c>
      <c r="BG19" s="41">
        <f t="shared" si="17"/>
        <v>0</v>
      </c>
      <c r="BH19" s="37">
        <f t="shared" si="18"/>
        <v>0</v>
      </c>
      <c r="BI19" s="1"/>
      <c r="BJ19" s="15"/>
      <c r="BK19" s="15">
        <f t="shared" si="19"/>
        <v>0</v>
      </c>
      <c r="BL19" s="37">
        <f t="shared" si="20"/>
        <v>0</v>
      </c>
      <c r="BM19" s="15"/>
      <c r="BN19" s="15"/>
    </row>
    <row r="20" spans="1:66" x14ac:dyDescent="0.25">
      <c r="A20" s="30" t="str">
        <f>$A$6&amp;IF(B20="","",COUNTA($B$9:B20)+100)</f>
        <v>SK-</v>
      </c>
      <c r="B20" s="15"/>
      <c r="C20" s="15"/>
      <c r="D20" s="15"/>
      <c r="E20" s="15"/>
      <c r="F20" s="15"/>
      <c r="G20" s="16"/>
      <c r="H20" s="16"/>
      <c r="I20" s="17"/>
      <c r="J20" s="15"/>
      <c r="K20" s="12" t="str">
        <f t="shared" si="2"/>
        <v xml:space="preserve"> </v>
      </c>
      <c r="L20" s="1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5">
        <f t="shared" si="3"/>
        <v>0</v>
      </c>
      <c r="AS20" s="15">
        <f t="shared" si="4"/>
        <v>0</v>
      </c>
      <c r="AT20" s="15">
        <f t="shared" si="5"/>
        <v>0</v>
      </c>
      <c r="AU20" s="15">
        <f t="shared" si="6"/>
        <v>0</v>
      </c>
      <c r="AV20" s="15">
        <f t="shared" si="7"/>
        <v>0</v>
      </c>
      <c r="AW20" s="15">
        <f t="shared" si="8"/>
        <v>0</v>
      </c>
      <c r="AX20" s="15">
        <f t="shared" si="9"/>
        <v>0</v>
      </c>
      <c r="AY20" s="15"/>
      <c r="AZ20" s="15">
        <f t="shared" si="10"/>
        <v>0</v>
      </c>
      <c r="BA20" s="15">
        <f t="shared" si="11"/>
        <v>0</v>
      </c>
      <c r="BB20" s="15">
        <f t="shared" si="12"/>
        <v>0</v>
      </c>
      <c r="BC20" s="15">
        <f t="shared" si="13"/>
        <v>0</v>
      </c>
      <c r="BD20" s="37">
        <f t="shared" si="14"/>
        <v>0</v>
      </c>
      <c r="BE20" s="15">
        <f t="shared" si="15"/>
        <v>0</v>
      </c>
      <c r="BF20" s="15">
        <f t="shared" si="16"/>
        <v>0</v>
      </c>
      <c r="BG20" s="41">
        <f t="shared" si="17"/>
        <v>0</v>
      </c>
      <c r="BH20" s="37">
        <f t="shared" si="18"/>
        <v>0</v>
      </c>
      <c r="BI20" s="1"/>
      <c r="BJ20" s="15"/>
      <c r="BK20" s="15">
        <f t="shared" si="19"/>
        <v>0</v>
      </c>
      <c r="BL20" s="37">
        <f t="shared" si="20"/>
        <v>0</v>
      </c>
      <c r="BM20" s="15"/>
      <c r="BN20" s="15"/>
    </row>
    <row r="21" spans="1:66" x14ac:dyDescent="0.25">
      <c r="A21" s="30" t="str">
        <f>$A$6&amp;IF(B21="","",COUNTA($B$9:B21)+100)</f>
        <v>SK-</v>
      </c>
      <c r="B21" s="15"/>
      <c r="C21" s="15"/>
      <c r="D21" s="15"/>
      <c r="E21" s="15"/>
      <c r="F21" s="15"/>
      <c r="G21" s="16"/>
      <c r="H21" s="16"/>
      <c r="I21" s="17"/>
      <c r="J21" s="15"/>
      <c r="K21" s="12" t="str">
        <f t="shared" si="2"/>
        <v xml:space="preserve"> </v>
      </c>
      <c r="L21" s="1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5">
        <f t="shared" si="3"/>
        <v>0</v>
      </c>
      <c r="AS21" s="15">
        <f t="shared" si="4"/>
        <v>0</v>
      </c>
      <c r="AT21" s="15">
        <f t="shared" si="5"/>
        <v>0</v>
      </c>
      <c r="AU21" s="15">
        <f t="shared" si="6"/>
        <v>0</v>
      </c>
      <c r="AV21" s="15">
        <f t="shared" si="7"/>
        <v>0</v>
      </c>
      <c r="AW21" s="15">
        <f t="shared" si="8"/>
        <v>0</v>
      </c>
      <c r="AX21" s="15">
        <f t="shared" si="9"/>
        <v>0</v>
      </c>
      <c r="AY21" s="15"/>
      <c r="AZ21" s="15">
        <f t="shared" si="10"/>
        <v>0</v>
      </c>
      <c r="BA21" s="15">
        <f t="shared" si="11"/>
        <v>0</v>
      </c>
      <c r="BB21" s="15">
        <f t="shared" si="12"/>
        <v>0</v>
      </c>
      <c r="BC21" s="15">
        <f t="shared" si="13"/>
        <v>0</v>
      </c>
      <c r="BD21" s="37">
        <f t="shared" si="14"/>
        <v>0</v>
      </c>
      <c r="BE21" s="15">
        <f t="shared" si="15"/>
        <v>0</v>
      </c>
      <c r="BF21" s="15">
        <f t="shared" si="16"/>
        <v>0</v>
      </c>
      <c r="BG21" s="41">
        <f t="shared" si="17"/>
        <v>0</v>
      </c>
      <c r="BH21" s="37">
        <f t="shared" si="18"/>
        <v>0</v>
      </c>
      <c r="BI21" s="1"/>
      <c r="BJ21" s="15"/>
      <c r="BK21" s="15">
        <f t="shared" si="19"/>
        <v>0</v>
      </c>
      <c r="BL21" s="37">
        <f t="shared" si="20"/>
        <v>0</v>
      </c>
      <c r="BM21" s="15"/>
      <c r="BN21" s="15"/>
    </row>
  </sheetData>
  <mergeCells count="3">
    <mergeCell ref="A1:AR2"/>
    <mergeCell ref="AZ6:BB6"/>
    <mergeCell ref="BE6:BG6"/>
  </mergeCells>
  <conditionalFormatting sqref="A9:A21">
    <cfRule type="expression" dxfId="38" priority="9">
      <formula>A9="SK-"</formula>
    </cfRule>
  </conditionalFormatting>
  <conditionalFormatting sqref="K9:K21">
    <cfRule type="expression" dxfId="37" priority="10">
      <formula>K9:K21="Emp. Resign this Company"</formula>
    </cfRule>
  </conditionalFormatting>
  <conditionalFormatting sqref="M9:AQ21">
    <cfRule type="expression" dxfId="36" priority="5">
      <formula>M9="P"</formula>
    </cfRule>
    <cfRule type="expression" dxfId="35" priority="6">
      <formula>M9="L"</formula>
    </cfRule>
    <cfRule type="expression" dxfId="34" priority="7">
      <formula>M9="H"</formula>
    </cfRule>
    <cfRule type="expression" dxfId="33" priority="8">
      <formula>M9="A"</formula>
    </cfRule>
    <cfRule type="expression" dxfId="32" priority="13">
      <formula>M$7="sun"</formula>
    </cfRule>
  </conditionalFormatting>
  <conditionalFormatting sqref="AO8">
    <cfRule type="expression" dxfId="31" priority="12">
      <formula>$AO$8=DATEVLUE(1/29/2024)</formula>
    </cfRule>
  </conditionalFormatting>
  <conditionalFormatting sqref="AP8">
    <cfRule type="expression" dxfId="30" priority="11">
      <formula>$AP$8=DATEVALUE("2/30/2024")</formula>
    </cfRule>
  </conditionalFormatting>
  <conditionalFormatting sqref="AR9:BL21">
    <cfRule type="expression" dxfId="29" priority="4">
      <formula>AR9=0</formula>
    </cfRule>
  </conditionalFormatting>
  <conditionalFormatting sqref="BM9:BN21">
    <cfRule type="expression" dxfId="28" priority="1">
      <formula>$BN9="Process"</formula>
    </cfRule>
    <cfRule type="expression" dxfId="27" priority="2">
      <formula>$BN9="Pending"</formula>
    </cfRule>
    <cfRule type="expression" dxfId="26" priority="3">
      <formula>$BN9="done"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'data sheet'!$D$2:$D$4</xm:f>
          </x14:formula1>
          <xm:sqref>BN9:BN21</xm:sqref>
        </x14:dataValidation>
        <x14:dataValidation type="list" allowBlank="1" showInputMessage="1" showErrorMessage="1">
          <x14:formula1>
            <xm:f>'data sheet'!$Q$1:$Q$12</xm:f>
          </x14:formula1>
          <xm:sqref>L5</xm:sqref>
        </x14:dataValidation>
        <x14:dataValidation type="list" allowBlank="1" showInputMessage="1" showErrorMessage="1">
          <x14:formula1>
            <xm:f>'data sheet'!$P$1:$P$99</xm:f>
          </x14:formula1>
          <xm:sqref>M5</xm:sqref>
        </x14:dataValidation>
        <x14:dataValidation type="list" allowBlank="1" showInputMessage="1" showErrorMessage="1">
          <x14:formula1>
            <xm:f>'data sheet'!$C$2:$C$9</xm:f>
          </x14:formula1>
          <xm:sqref>D9:D21</xm:sqref>
        </x14:dataValidation>
        <x14:dataValidation type="list" allowBlank="1" showInputMessage="1" showErrorMessage="1">
          <x14:formula1>
            <xm:f>'data sheet'!$B$2:$B$6</xm:f>
          </x14:formula1>
          <xm:sqref>C9:C21</xm:sqref>
        </x14:dataValidation>
        <x14:dataValidation type="list" allowBlank="1" showInputMessage="1" showErrorMessage="1">
          <x14:formula1>
            <xm:f>'data sheet'!$A$2:$A$14</xm:f>
          </x14:formula1>
          <xm:sqref>B9:B21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21"/>
  <sheetViews>
    <sheetView workbookViewId="0">
      <selection sqref="A1:AR2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5.85546875" bestFit="1" customWidth="1"/>
    <col min="4" max="4" width="4.85546875" bestFit="1" customWidth="1"/>
    <col min="5" max="5" width="7.7109375" bestFit="1" customWidth="1"/>
    <col min="6" max="6" width="7.140625" bestFit="1" customWidth="1"/>
    <col min="7" max="7" width="7.28515625" bestFit="1" customWidth="1"/>
    <col min="9" max="9" width="9" bestFit="1" customWidth="1"/>
    <col min="10" max="10" width="9.7109375" bestFit="1" customWidth="1"/>
    <col min="11" max="11" width="11.42578125" bestFit="1" customWidth="1"/>
    <col min="12" max="12" width="7" bestFit="1" customWidth="1"/>
    <col min="13" max="43" width="10.42578125" bestFit="1" customWidth="1"/>
    <col min="44" max="44" width="9.85546875" bestFit="1" customWidth="1"/>
    <col min="45" max="45" width="7.85546875" bestFit="1" customWidth="1"/>
    <col min="46" max="46" width="7.28515625" bestFit="1" customWidth="1"/>
    <col min="47" max="47" width="6.140625" bestFit="1" customWidth="1"/>
    <col min="48" max="48" width="7.42578125" bestFit="1" customWidth="1"/>
    <col min="49" max="49" width="8.140625" bestFit="1" customWidth="1"/>
    <col min="50" max="50" width="12.7109375" bestFit="1" customWidth="1"/>
    <col min="51" max="51" width="11.140625" bestFit="1" customWidth="1"/>
    <col min="52" max="52" width="19.7109375" bestFit="1" customWidth="1"/>
    <col min="53" max="53" width="21.85546875" bestFit="1" customWidth="1"/>
    <col min="54" max="54" width="22" bestFit="1" customWidth="1"/>
    <col min="55" max="55" width="27.5703125" bestFit="1" customWidth="1"/>
    <col min="56" max="56" width="8.7109375" bestFit="1" customWidth="1"/>
    <col min="57" max="57" width="4.5703125" bestFit="1" customWidth="1"/>
    <col min="58" max="58" width="4.7109375" bestFit="1" customWidth="1"/>
    <col min="59" max="59" width="22.42578125" bestFit="1" customWidth="1"/>
    <col min="60" max="60" width="11.7109375" bestFit="1" customWidth="1"/>
    <col min="61" max="61" width="8.5703125" bestFit="1" customWidth="1"/>
    <col min="62" max="62" width="14.28515625" bestFit="1" customWidth="1"/>
    <col min="63" max="64" width="10" bestFit="1" customWidth="1"/>
    <col min="65" max="65" width="15.85546875" bestFit="1" customWidth="1"/>
    <col min="66" max="66" width="6.42578125" bestFit="1" customWidth="1"/>
  </cols>
  <sheetData>
    <row r="1" spans="1:66" ht="30" customHeight="1" x14ac:dyDescent="0.25">
      <c r="A1" s="49" t="str">
        <f>"Attendance for"&amp;" "&amp;TEXT(P4,"mmmm yyyy")&amp;" "&amp;"Month"</f>
        <v>Attendance for November 2025 Month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BB1" s="15"/>
      <c r="BC1" s="42">
        <f>$AY$9/30</f>
        <v>0</v>
      </c>
      <c r="BD1" s="39">
        <f>BC1*30</f>
        <v>0</v>
      </c>
      <c r="BE1" s="39"/>
      <c r="BF1" s="39"/>
    </row>
    <row r="2" spans="1:66" ht="30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X2" s="23" t="s">
        <v>87</v>
      </c>
      <c r="AY2" s="24" t="s">
        <v>40</v>
      </c>
      <c r="AZ2" s="36" t="s">
        <v>70</v>
      </c>
      <c r="BA2" s="36" t="s">
        <v>71</v>
      </c>
      <c r="BB2" s="31" t="s">
        <v>67</v>
      </c>
      <c r="BC2" s="35" t="s">
        <v>68</v>
      </c>
      <c r="BD2" s="32" t="s">
        <v>89</v>
      </c>
      <c r="BE2" s="39"/>
      <c r="BF2" s="39">
        <f>AX9*BC1</f>
        <v>0</v>
      </c>
    </row>
    <row r="3" spans="1:66" x14ac:dyDescent="0.25">
      <c r="AX3" s="37">
        <f>$BC$1*$AV$9</f>
        <v>0</v>
      </c>
      <c r="AY3" s="37">
        <f>$BC$1*$AW$9/2</f>
        <v>0</v>
      </c>
      <c r="AZ3" s="37">
        <f>$BC$1*$AU$9/2</f>
        <v>0</v>
      </c>
      <c r="BA3" s="37">
        <f>$BC$1/8*$BJ$9</f>
        <v>0</v>
      </c>
      <c r="BB3" s="37">
        <f>$BC$1*$AT$9</f>
        <v>0</v>
      </c>
      <c r="BC3" s="15">
        <f>$BC$1*$AS$9</f>
        <v>0</v>
      </c>
      <c r="BD3" s="40">
        <f>(AX3)+(AY3)+(AZ3)+(BC3)</f>
        <v>0</v>
      </c>
      <c r="BE3" s="39"/>
      <c r="BF3" s="39"/>
    </row>
    <row r="4" spans="1:66" x14ac:dyDescent="0.25">
      <c r="L4" s="34" t="s">
        <v>14</v>
      </c>
      <c r="M4" s="34" t="s">
        <v>15</v>
      </c>
      <c r="O4" s="34" t="s">
        <v>0</v>
      </c>
      <c r="P4" s="3">
        <f>DATEVALUE("1"&amp;L5&amp;M5)</f>
        <v>45962</v>
      </c>
      <c r="AX4" s="15"/>
      <c r="AY4" s="15"/>
      <c r="AZ4" s="15"/>
      <c r="BA4" s="15"/>
      <c r="BB4" s="15"/>
      <c r="BC4" s="15"/>
      <c r="BD4" s="32"/>
      <c r="BE4" s="39"/>
      <c r="BF4" s="39"/>
    </row>
    <row r="5" spans="1:66" x14ac:dyDescent="0.25">
      <c r="L5" s="2" t="s">
        <v>12</v>
      </c>
      <c r="M5" s="2">
        <v>2025</v>
      </c>
      <c r="O5" s="34" t="s">
        <v>1</v>
      </c>
      <c r="P5" s="3">
        <f>EOMONTH(P4,0)</f>
        <v>45991</v>
      </c>
      <c r="AX5" s="10"/>
      <c r="AY5" s="10"/>
      <c r="AZ5" s="10"/>
      <c r="BA5" s="10"/>
      <c r="BB5" s="10"/>
      <c r="BC5" s="38"/>
      <c r="BD5" s="10"/>
      <c r="BI5" s="11"/>
      <c r="BJ5" s="11"/>
      <c r="BL5" s="11"/>
    </row>
    <row r="6" spans="1:66" x14ac:dyDescent="0.25">
      <c r="A6" s="32" t="s">
        <v>86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2"/>
      <c r="P6" s="13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X6" s="10"/>
      <c r="AZ6" s="48" t="s">
        <v>44</v>
      </c>
      <c r="BA6" s="48"/>
      <c r="BB6" s="48"/>
      <c r="BE6" s="51" t="s">
        <v>45</v>
      </c>
      <c r="BF6" s="51"/>
      <c r="BG6" s="52"/>
    </row>
    <row r="7" spans="1:6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8" t="str">
        <f t="shared" ref="M7:AQ7" si="0">TEXT(M8,"Ddd")</f>
        <v>Sat</v>
      </c>
      <c r="N7" s="8" t="str">
        <f t="shared" si="0"/>
        <v>Sun</v>
      </c>
      <c r="O7" s="8" t="str">
        <f t="shared" si="0"/>
        <v>Mon</v>
      </c>
      <c r="P7" s="8" t="str">
        <f t="shared" si="0"/>
        <v>Tue</v>
      </c>
      <c r="Q7" s="8" t="str">
        <f t="shared" si="0"/>
        <v>Wed</v>
      </c>
      <c r="R7" s="8" t="str">
        <f t="shared" si="0"/>
        <v>Thu</v>
      </c>
      <c r="S7" s="8" t="str">
        <f t="shared" si="0"/>
        <v>Fri</v>
      </c>
      <c r="T7" s="8" t="str">
        <f t="shared" si="0"/>
        <v>Sat</v>
      </c>
      <c r="U7" s="8" t="str">
        <f t="shared" si="0"/>
        <v>Sun</v>
      </c>
      <c r="V7" s="8" t="str">
        <f t="shared" si="0"/>
        <v>Mon</v>
      </c>
      <c r="W7" s="8" t="str">
        <f t="shared" si="0"/>
        <v>Tue</v>
      </c>
      <c r="X7" s="8" t="str">
        <f t="shared" si="0"/>
        <v>Wed</v>
      </c>
      <c r="Y7" s="8" t="str">
        <f t="shared" si="0"/>
        <v>Thu</v>
      </c>
      <c r="Z7" s="8" t="str">
        <f t="shared" si="0"/>
        <v>Fri</v>
      </c>
      <c r="AA7" s="8" t="str">
        <f t="shared" si="0"/>
        <v>Sat</v>
      </c>
      <c r="AB7" s="8" t="str">
        <f t="shared" si="0"/>
        <v>Sun</v>
      </c>
      <c r="AC7" s="8" t="str">
        <f t="shared" si="0"/>
        <v>Mon</v>
      </c>
      <c r="AD7" s="8" t="str">
        <f t="shared" si="0"/>
        <v>Tue</v>
      </c>
      <c r="AE7" s="8" t="str">
        <f t="shared" si="0"/>
        <v>Wed</v>
      </c>
      <c r="AF7" s="8" t="str">
        <f t="shared" si="0"/>
        <v>Thu</v>
      </c>
      <c r="AG7" s="8" t="str">
        <f t="shared" si="0"/>
        <v>Fri</v>
      </c>
      <c r="AH7" s="8" t="str">
        <f t="shared" si="0"/>
        <v>Sat</v>
      </c>
      <c r="AI7" s="8" t="str">
        <f t="shared" si="0"/>
        <v>Sun</v>
      </c>
      <c r="AJ7" s="8" t="str">
        <f t="shared" si="0"/>
        <v>Mon</v>
      </c>
      <c r="AK7" s="8" t="str">
        <f t="shared" si="0"/>
        <v>Tue</v>
      </c>
      <c r="AL7" s="8" t="str">
        <f t="shared" si="0"/>
        <v>Wed</v>
      </c>
      <c r="AM7" s="8" t="str">
        <f t="shared" si="0"/>
        <v>Thu</v>
      </c>
      <c r="AN7" s="8" t="str">
        <f t="shared" si="0"/>
        <v>Fri</v>
      </c>
      <c r="AO7" s="8" t="str">
        <f t="shared" si="0"/>
        <v>Sat</v>
      </c>
      <c r="AP7" s="8" t="str">
        <f t="shared" si="0"/>
        <v>Sun</v>
      </c>
      <c r="AQ7" s="8" t="str">
        <f t="shared" si="0"/>
        <v xml:space="preserve"> </v>
      </c>
      <c r="AX7" s="10"/>
      <c r="AY7" s="10"/>
      <c r="AZ7" s="28">
        <v>0.03</v>
      </c>
      <c r="BA7" s="28">
        <v>0.05</v>
      </c>
      <c r="BB7" s="28">
        <v>7.0000000000000007E-2</v>
      </c>
      <c r="BC7" s="10"/>
      <c r="BE7" s="29">
        <v>0.12</v>
      </c>
      <c r="BF7" s="29">
        <v>0.02</v>
      </c>
      <c r="BH7" s="10"/>
      <c r="BM7" s="10"/>
      <c r="BN7" s="10"/>
    </row>
    <row r="8" spans="1:66" x14ac:dyDescent="0.25">
      <c r="A8" s="14" t="s">
        <v>16</v>
      </c>
      <c r="B8" s="14" t="s">
        <v>17</v>
      </c>
      <c r="C8" s="14" t="s">
        <v>58</v>
      </c>
      <c r="D8" s="14" t="s">
        <v>59</v>
      </c>
      <c r="E8" s="14" t="s">
        <v>60</v>
      </c>
      <c r="F8" s="14" t="s">
        <v>61</v>
      </c>
      <c r="G8" s="14" t="s">
        <v>18</v>
      </c>
      <c r="H8" s="14" t="s">
        <v>41</v>
      </c>
      <c r="I8" s="14" t="s">
        <v>64</v>
      </c>
      <c r="J8" s="14" t="s">
        <v>63</v>
      </c>
      <c r="K8" s="14" t="s">
        <v>65</v>
      </c>
      <c r="L8" s="14" t="s">
        <v>20</v>
      </c>
      <c r="M8" s="46">
        <f>P4</f>
        <v>45962</v>
      </c>
      <c r="N8" s="46">
        <f t="shared" ref="N8:AM8" si="1">M8+1</f>
        <v>45963</v>
      </c>
      <c r="O8" s="46">
        <f t="shared" si="1"/>
        <v>45964</v>
      </c>
      <c r="P8" s="46">
        <f t="shared" si="1"/>
        <v>45965</v>
      </c>
      <c r="Q8" s="46">
        <f t="shared" si="1"/>
        <v>45966</v>
      </c>
      <c r="R8" s="46">
        <f t="shared" si="1"/>
        <v>45967</v>
      </c>
      <c r="S8" s="46">
        <f t="shared" si="1"/>
        <v>45968</v>
      </c>
      <c r="T8" s="46">
        <f t="shared" si="1"/>
        <v>45969</v>
      </c>
      <c r="U8" s="46">
        <f t="shared" si="1"/>
        <v>45970</v>
      </c>
      <c r="V8" s="46">
        <f t="shared" si="1"/>
        <v>45971</v>
      </c>
      <c r="W8" s="46">
        <f t="shared" si="1"/>
        <v>45972</v>
      </c>
      <c r="X8" s="46">
        <f t="shared" si="1"/>
        <v>45973</v>
      </c>
      <c r="Y8" s="46">
        <f t="shared" si="1"/>
        <v>45974</v>
      </c>
      <c r="Z8" s="46">
        <f t="shared" si="1"/>
        <v>45975</v>
      </c>
      <c r="AA8" s="46">
        <f t="shared" si="1"/>
        <v>45976</v>
      </c>
      <c r="AB8" s="46">
        <f t="shared" si="1"/>
        <v>45977</v>
      </c>
      <c r="AC8" s="46">
        <f t="shared" si="1"/>
        <v>45978</v>
      </c>
      <c r="AD8" s="46">
        <f t="shared" si="1"/>
        <v>45979</v>
      </c>
      <c r="AE8" s="46">
        <f t="shared" si="1"/>
        <v>45980</v>
      </c>
      <c r="AF8" s="46">
        <f t="shared" si="1"/>
        <v>45981</v>
      </c>
      <c r="AG8" s="46">
        <f t="shared" si="1"/>
        <v>45982</v>
      </c>
      <c r="AH8" s="46">
        <f t="shared" si="1"/>
        <v>45983</v>
      </c>
      <c r="AI8" s="46">
        <f t="shared" si="1"/>
        <v>45984</v>
      </c>
      <c r="AJ8" s="46">
        <f t="shared" si="1"/>
        <v>45985</v>
      </c>
      <c r="AK8" s="46">
        <f t="shared" si="1"/>
        <v>45986</v>
      </c>
      <c r="AL8" s="46">
        <f t="shared" si="1"/>
        <v>45987</v>
      </c>
      <c r="AM8" s="46">
        <f t="shared" si="1"/>
        <v>45988</v>
      </c>
      <c r="AN8" s="46">
        <f>IF(AM8&lt;$P$5,AM8+1," ")</f>
        <v>45989</v>
      </c>
      <c r="AO8" s="46">
        <f>IF(AN8&lt;$P$5,AN8+1," ")</f>
        <v>45990</v>
      </c>
      <c r="AP8" s="46">
        <f>IF(AO8&lt;$P$5,AO8+1," ")</f>
        <v>45991</v>
      </c>
      <c r="AQ8" s="46" t="str">
        <f>IF(AP8&lt;$P$5,AP8+1," ")</f>
        <v xml:space="preserve"> </v>
      </c>
      <c r="AR8" s="21" t="s">
        <v>42</v>
      </c>
      <c r="AS8" s="18" t="s">
        <v>25</v>
      </c>
      <c r="AT8" s="22" t="s">
        <v>38</v>
      </c>
      <c r="AU8" s="23" t="s">
        <v>39</v>
      </c>
      <c r="AV8" s="23" t="s">
        <v>87</v>
      </c>
      <c r="AW8" s="24" t="s">
        <v>40</v>
      </c>
      <c r="AX8" s="25" t="s">
        <v>43</v>
      </c>
      <c r="AY8" s="4" t="s">
        <v>46</v>
      </c>
      <c r="AZ8" s="4" t="s">
        <v>49</v>
      </c>
      <c r="BA8" s="26" t="s">
        <v>50</v>
      </c>
      <c r="BB8" s="8" t="s">
        <v>51</v>
      </c>
      <c r="BC8" s="27" t="s">
        <v>52</v>
      </c>
      <c r="BD8" s="20" t="s">
        <v>53</v>
      </c>
      <c r="BE8" s="7" t="s">
        <v>54</v>
      </c>
      <c r="BF8" s="9" t="s">
        <v>69</v>
      </c>
      <c r="BG8" s="45" t="s">
        <v>95</v>
      </c>
      <c r="BH8" s="27" t="s">
        <v>55</v>
      </c>
      <c r="BI8" s="7" t="s">
        <v>48</v>
      </c>
      <c r="BJ8" s="5" t="s">
        <v>62</v>
      </c>
      <c r="BK8" s="6" t="s">
        <v>47</v>
      </c>
      <c r="BL8" s="19" t="s">
        <v>56</v>
      </c>
      <c r="BM8" s="20" t="s">
        <v>57</v>
      </c>
      <c r="BN8" s="44" t="s">
        <v>91</v>
      </c>
    </row>
    <row r="9" spans="1:66" x14ac:dyDescent="0.25">
      <c r="A9" s="30" t="str">
        <f>$A$6&amp;IF(B9="","",COUNTA($B$9:B9)+100)</f>
        <v>SK-</v>
      </c>
      <c r="B9" s="15"/>
      <c r="C9" s="15"/>
      <c r="D9" s="15"/>
      <c r="E9" s="15"/>
      <c r="F9" s="15"/>
      <c r="G9" s="16"/>
      <c r="H9" s="16"/>
      <c r="I9" s="17"/>
      <c r="J9" s="17"/>
      <c r="K9" s="12" t="str">
        <f>IF($J9=""," ","Emp. Resign this Company")</f>
        <v xml:space="preserve"> </v>
      </c>
      <c r="L9" s="1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5">
        <f>COUNTA(M9:AQ9)</f>
        <v>0</v>
      </c>
      <c r="AS9" s="15">
        <f>COUNTIF(M9:AQ9,"P")</f>
        <v>0</v>
      </c>
      <c r="AT9" s="15">
        <f>COUNTIF(M9:AQ9,"A")</f>
        <v>0</v>
      </c>
      <c r="AU9" s="15">
        <f>COUNTIF(M9:AQ9,"L")</f>
        <v>0</v>
      </c>
      <c r="AV9" s="15">
        <f>COUNTIF(M9:AQ9,"SUN")</f>
        <v>0</v>
      </c>
      <c r="AW9" s="15">
        <f>COUNTIF(M9:AQ9,"H")</f>
        <v>0</v>
      </c>
      <c r="AX9" s="15">
        <f>($AR9-$AT9)-($AW9/2)-($AU9/2)</f>
        <v>0</v>
      </c>
      <c r="AY9" s="15"/>
      <c r="AZ9" s="15">
        <f>$AY9*$AZ$7</f>
        <v>0</v>
      </c>
      <c r="BA9" s="15">
        <f>$AY9*$BA$7</f>
        <v>0</v>
      </c>
      <c r="BB9" s="15">
        <f>$AY9*$BB$7</f>
        <v>0</v>
      </c>
      <c r="BC9" s="15">
        <f>$AZ9+$BA9+$BB9</f>
        <v>0</v>
      </c>
      <c r="BD9" s="37">
        <f>($AY9+$BC9)</f>
        <v>0</v>
      </c>
      <c r="BE9" s="15">
        <f>$AY9*$BE$7</f>
        <v>0</v>
      </c>
      <c r="BF9" s="15">
        <f>$AY9*$BF$7</f>
        <v>0</v>
      </c>
      <c r="BG9" s="41">
        <f>$BC$1*$AT9</f>
        <v>0</v>
      </c>
      <c r="BH9" s="37">
        <f>$BE9+$BF9+$BG9</f>
        <v>0</v>
      </c>
      <c r="BI9" s="1"/>
      <c r="BJ9" s="15"/>
      <c r="BK9" s="15">
        <f>IF($BA$4="",$AY9/30/8*$BJ9,$BA4*$BJ9)</f>
        <v>0</v>
      </c>
      <c r="BL9" s="37">
        <f>($BD9-$BH9)-$BI9</f>
        <v>0</v>
      </c>
      <c r="BM9" s="17"/>
      <c r="BN9" s="15"/>
    </row>
    <row r="10" spans="1:66" x14ac:dyDescent="0.25">
      <c r="A10" s="30" t="str">
        <f>$A$6&amp;IF(B10="","",COUNTA($B$9:B10)+100)</f>
        <v>SK-</v>
      </c>
      <c r="B10" s="15"/>
      <c r="C10" s="15"/>
      <c r="D10" s="15"/>
      <c r="E10" s="15"/>
      <c r="F10" s="15"/>
      <c r="G10" s="16"/>
      <c r="H10" s="16"/>
      <c r="I10" s="17"/>
      <c r="J10" s="17"/>
      <c r="K10" s="12" t="str">
        <f t="shared" ref="K10:K21" si="2">IF($J10=""," ","Emp. Resign this Company")</f>
        <v xml:space="preserve"> </v>
      </c>
      <c r="L10" s="1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5">
        <f t="shared" ref="AR10:AR21" si="3">COUNTA(M10:AQ10)</f>
        <v>0</v>
      </c>
      <c r="AS10" s="15">
        <f t="shared" ref="AS10:AS21" si="4">COUNTIF(M10:AQ10,"P")</f>
        <v>0</v>
      </c>
      <c r="AT10" s="15">
        <f t="shared" ref="AT10:AT21" si="5">COUNTIF(M10:AQ10,"A")</f>
        <v>0</v>
      </c>
      <c r="AU10" s="15">
        <f t="shared" ref="AU10:AU21" si="6">COUNTIF(M10:AQ10,"L")</f>
        <v>0</v>
      </c>
      <c r="AV10" s="15">
        <f t="shared" ref="AV10:AV21" si="7">COUNTIF(M10:AQ10,"SUN")</f>
        <v>0</v>
      </c>
      <c r="AW10" s="15">
        <f t="shared" ref="AW10:AW21" si="8">COUNTIF(M10:AQ10,"H")</f>
        <v>0</v>
      </c>
      <c r="AX10" s="15">
        <f t="shared" ref="AX10:AX21" si="9">($AR10-$AT10)-($AW10/2)-($AU10/2)</f>
        <v>0</v>
      </c>
      <c r="AY10" s="15"/>
      <c r="AZ10" s="15">
        <f t="shared" ref="AZ10:AZ21" si="10">$AY10*$AZ$7</f>
        <v>0</v>
      </c>
      <c r="BA10" s="15">
        <f t="shared" ref="BA10:BA21" si="11">$AY10*$BA$7</f>
        <v>0</v>
      </c>
      <c r="BB10" s="15">
        <f t="shared" ref="BB10:BB21" si="12">$AY10*$BB$7</f>
        <v>0</v>
      </c>
      <c r="BC10" s="15">
        <f t="shared" ref="BC10:BC21" si="13">$AZ10+$BA10+$BB10</f>
        <v>0</v>
      </c>
      <c r="BD10" s="37">
        <f t="shared" ref="BD10:BD21" si="14">($AY10+$BC10)</f>
        <v>0</v>
      </c>
      <c r="BE10" s="15">
        <f t="shared" ref="BE10:BE21" si="15">$AY10*$BE$7</f>
        <v>0</v>
      </c>
      <c r="BF10" s="15">
        <f t="shared" ref="BF10:BF21" si="16">$AY10*$BF$7</f>
        <v>0</v>
      </c>
      <c r="BG10" s="41">
        <f t="shared" ref="BG10:BG21" si="17">$BC$1*$AT10</f>
        <v>0</v>
      </c>
      <c r="BH10" s="37">
        <f t="shared" ref="BH10:BH21" si="18">$BE10+$BF10+$BG10</f>
        <v>0</v>
      </c>
      <c r="BI10" s="1"/>
      <c r="BJ10" s="15"/>
      <c r="BK10" s="15">
        <f t="shared" ref="BK10:BK21" si="19">IF($BA$4="",$AY10/30/8*$BJ10,$BA5*$BJ10)</f>
        <v>0</v>
      </c>
      <c r="BL10" s="37">
        <f t="shared" ref="BL10:BL21" si="20">($BD10-$BH10)-$BI10</f>
        <v>0</v>
      </c>
      <c r="BM10" s="15"/>
      <c r="BN10" s="15"/>
    </row>
    <row r="11" spans="1:66" x14ac:dyDescent="0.25">
      <c r="A11" s="30" t="str">
        <f>$A$6&amp;IF(B11="","",COUNTA($B$9:B11)+100)</f>
        <v>SK-</v>
      </c>
      <c r="B11" s="15"/>
      <c r="C11" s="15"/>
      <c r="D11" s="15"/>
      <c r="E11" s="15"/>
      <c r="F11" s="15"/>
      <c r="G11" s="16"/>
      <c r="H11" s="16"/>
      <c r="I11" s="17"/>
      <c r="J11" s="15"/>
      <c r="K11" s="12" t="str">
        <f t="shared" si="2"/>
        <v xml:space="preserve"> </v>
      </c>
      <c r="L11" s="1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5">
        <f t="shared" si="3"/>
        <v>0</v>
      </c>
      <c r="AS11" s="15">
        <f t="shared" si="4"/>
        <v>0</v>
      </c>
      <c r="AT11" s="15">
        <f t="shared" si="5"/>
        <v>0</v>
      </c>
      <c r="AU11" s="15">
        <f t="shared" si="6"/>
        <v>0</v>
      </c>
      <c r="AV11" s="15">
        <f t="shared" si="7"/>
        <v>0</v>
      </c>
      <c r="AW11" s="15">
        <f t="shared" si="8"/>
        <v>0</v>
      </c>
      <c r="AX11" s="15">
        <f t="shared" si="9"/>
        <v>0</v>
      </c>
      <c r="AY11" s="15"/>
      <c r="AZ11" s="15">
        <f t="shared" si="10"/>
        <v>0</v>
      </c>
      <c r="BA11" s="15">
        <f t="shared" si="11"/>
        <v>0</v>
      </c>
      <c r="BB11" s="15">
        <f t="shared" si="12"/>
        <v>0</v>
      </c>
      <c r="BC11" s="15">
        <f t="shared" si="13"/>
        <v>0</v>
      </c>
      <c r="BD11" s="37">
        <f t="shared" si="14"/>
        <v>0</v>
      </c>
      <c r="BE11" s="15">
        <f t="shared" si="15"/>
        <v>0</v>
      </c>
      <c r="BF11" s="15">
        <f t="shared" si="16"/>
        <v>0</v>
      </c>
      <c r="BG11" s="41">
        <f t="shared" si="17"/>
        <v>0</v>
      </c>
      <c r="BH11" s="37">
        <f t="shared" si="18"/>
        <v>0</v>
      </c>
      <c r="BI11" s="1"/>
      <c r="BJ11" s="15"/>
      <c r="BK11" s="15">
        <f t="shared" si="19"/>
        <v>0</v>
      </c>
      <c r="BL11" s="37">
        <f t="shared" si="20"/>
        <v>0</v>
      </c>
      <c r="BM11" s="15"/>
      <c r="BN11" s="15"/>
    </row>
    <row r="12" spans="1:66" x14ac:dyDescent="0.25">
      <c r="A12" s="30" t="str">
        <f>$A$6&amp;IF(B12="","",COUNTA($B$9:B12)+100)</f>
        <v>SK-</v>
      </c>
      <c r="B12" s="15"/>
      <c r="C12" s="15"/>
      <c r="D12" s="15"/>
      <c r="E12" s="15"/>
      <c r="F12" s="15"/>
      <c r="G12" s="16"/>
      <c r="H12" s="16"/>
      <c r="I12" s="17"/>
      <c r="J12" s="15"/>
      <c r="K12" s="12" t="str">
        <f t="shared" si="2"/>
        <v xml:space="preserve"> </v>
      </c>
      <c r="L12" s="1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5">
        <f t="shared" si="3"/>
        <v>0</v>
      </c>
      <c r="AS12" s="15">
        <f t="shared" si="4"/>
        <v>0</v>
      </c>
      <c r="AT12" s="15">
        <f t="shared" si="5"/>
        <v>0</v>
      </c>
      <c r="AU12" s="15">
        <f t="shared" si="6"/>
        <v>0</v>
      </c>
      <c r="AV12" s="15">
        <f t="shared" si="7"/>
        <v>0</v>
      </c>
      <c r="AW12" s="15">
        <f>COUNTIF(M12:AQ12,"H")</f>
        <v>0</v>
      </c>
      <c r="AX12" s="15">
        <f t="shared" si="9"/>
        <v>0</v>
      </c>
      <c r="AY12" s="15"/>
      <c r="AZ12" s="15">
        <f t="shared" si="10"/>
        <v>0</v>
      </c>
      <c r="BA12" s="15">
        <f t="shared" si="11"/>
        <v>0</v>
      </c>
      <c r="BB12" s="15">
        <f t="shared" si="12"/>
        <v>0</v>
      </c>
      <c r="BC12" s="15">
        <f t="shared" si="13"/>
        <v>0</v>
      </c>
      <c r="BD12" s="37">
        <f t="shared" si="14"/>
        <v>0</v>
      </c>
      <c r="BE12" s="15">
        <f t="shared" si="15"/>
        <v>0</v>
      </c>
      <c r="BF12" s="15">
        <f t="shared" si="16"/>
        <v>0</v>
      </c>
      <c r="BG12" s="41">
        <f t="shared" si="17"/>
        <v>0</v>
      </c>
      <c r="BH12" s="37">
        <f t="shared" si="18"/>
        <v>0</v>
      </c>
      <c r="BI12" s="1"/>
      <c r="BJ12" s="15"/>
      <c r="BK12" s="15">
        <f t="shared" si="19"/>
        <v>0</v>
      </c>
      <c r="BL12" s="37">
        <f t="shared" si="20"/>
        <v>0</v>
      </c>
      <c r="BM12" s="15"/>
      <c r="BN12" s="15"/>
    </row>
    <row r="13" spans="1:66" x14ac:dyDescent="0.25">
      <c r="A13" s="30" t="str">
        <f>$A$6&amp;IF(B13="","",COUNTA($B$9:B13)+100)</f>
        <v>SK-</v>
      </c>
      <c r="B13" s="15"/>
      <c r="C13" s="15"/>
      <c r="D13" s="15"/>
      <c r="E13" s="15"/>
      <c r="F13" s="15"/>
      <c r="G13" s="16"/>
      <c r="H13" s="16"/>
      <c r="I13" s="17"/>
      <c r="J13" s="17"/>
      <c r="K13" s="12" t="str">
        <f t="shared" si="2"/>
        <v xml:space="preserve"> </v>
      </c>
      <c r="L13" s="1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5">
        <f t="shared" si="3"/>
        <v>0</v>
      </c>
      <c r="AS13" s="15">
        <f t="shared" si="4"/>
        <v>0</v>
      </c>
      <c r="AT13" s="15">
        <f t="shared" si="5"/>
        <v>0</v>
      </c>
      <c r="AU13" s="15">
        <f t="shared" si="6"/>
        <v>0</v>
      </c>
      <c r="AV13" s="15">
        <f t="shared" si="7"/>
        <v>0</v>
      </c>
      <c r="AW13" s="15">
        <f t="shared" si="8"/>
        <v>0</v>
      </c>
      <c r="AX13" s="15">
        <f t="shared" si="9"/>
        <v>0</v>
      </c>
      <c r="AY13" s="15"/>
      <c r="AZ13" s="15">
        <f t="shared" si="10"/>
        <v>0</v>
      </c>
      <c r="BA13" s="15">
        <f t="shared" si="11"/>
        <v>0</v>
      </c>
      <c r="BB13" s="15">
        <f t="shared" si="12"/>
        <v>0</v>
      </c>
      <c r="BC13" s="15">
        <f t="shared" si="13"/>
        <v>0</v>
      </c>
      <c r="BD13" s="37">
        <f t="shared" si="14"/>
        <v>0</v>
      </c>
      <c r="BE13" s="15">
        <f t="shared" si="15"/>
        <v>0</v>
      </c>
      <c r="BF13" s="15">
        <f t="shared" si="16"/>
        <v>0</v>
      </c>
      <c r="BG13" s="41">
        <f t="shared" si="17"/>
        <v>0</v>
      </c>
      <c r="BH13" s="37">
        <f t="shared" si="18"/>
        <v>0</v>
      </c>
      <c r="BI13" s="1"/>
      <c r="BJ13" s="15"/>
      <c r="BK13" s="15">
        <f t="shared" si="19"/>
        <v>0</v>
      </c>
      <c r="BL13" s="37">
        <f t="shared" si="20"/>
        <v>0</v>
      </c>
      <c r="BM13" s="15"/>
      <c r="BN13" s="15"/>
    </row>
    <row r="14" spans="1:66" x14ac:dyDescent="0.25">
      <c r="A14" s="30" t="str">
        <f>$A$6&amp;IF(B14="","",COUNTA($B$9:B14)+100)</f>
        <v>SK-</v>
      </c>
      <c r="B14" s="15"/>
      <c r="C14" s="15"/>
      <c r="D14" s="15"/>
      <c r="E14" s="15"/>
      <c r="F14" s="15"/>
      <c r="G14" s="16"/>
      <c r="H14" s="16"/>
      <c r="I14" s="17"/>
      <c r="J14" s="15"/>
      <c r="K14" s="12" t="str">
        <f t="shared" si="2"/>
        <v xml:space="preserve"> </v>
      </c>
      <c r="L14" s="1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5">
        <f t="shared" si="3"/>
        <v>0</v>
      </c>
      <c r="AS14" s="15">
        <f t="shared" si="4"/>
        <v>0</v>
      </c>
      <c r="AT14" s="15">
        <f t="shared" si="5"/>
        <v>0</v>
      </c>
      <c r="AU14" s="15">
        <f t="shared" si="6"/>
        <v>0</v>
      </c>
      <c r="AV14" s="15">
        <f t="shared" si="7"/>
        <v>0</v>
      </c>
      <c r="AW14" s="15">
        <f t="shared" si="8"/>
        <v>0</v>
      </c>
      <c r="AX14" s="15">
        <f t="shared" si="9"/>
        <v>0</v>
      </c>
      <c r="AY14" s="15"/>
      <c r="AZ14" s="15">
        <f t="shared" si="10"/>
        <v>0</v>
      </c>
      <c r="BA14" s="15">
        <f t="shared" si="11"/>
        <v>0</v>
      </c>
      <c r="BB14" s="15">
        <f t="shared" si="12"/>
        <v>0</v>
      </c>
      <c r="BC14" s="15">
        <f t="shared" si="13"/>
        <v>0</v>
      </c>
      <c r="BD14" s="37">
        <f t="shared" si="14"/>
        <v>0</v>
      </c>
      <c r="BE14" s="15">
        <f t="shared" si="15"/>
        <v>0</v>
      </c>
      <c r="BF14" s="15">
        <f t="shared" si="16"/>
        <v>0</v>
      </c>
      <c r="BG14" s="41">
        <f t="shared" si="17"/>
        <v>0</v>
      </c>
      <c r="BH14" s="37">
        <f t="shared" si="18"/>
        <v>0</v>
      </c>
      <c r="BI14" s="1"/>
      <c r="BJ14" s="15"/>
      <c r="BK14" s="15">
        <f t="shared" si="19"/>
        <v>0</v>
      </c>
      <c r="BL14" s="37">
        <f t="shared" si="20"/>
        <v>0</v>
      </c>
      <c r="BM14" s="15"/>
      <c r="BN14" s="15"/>
    </row>
    <row r="15" spans="1:66" x14ac:dyDescent="0.25">
      <c r="A15" s="30" t="str">
        <f>$A$6&amp;IF(B15="","",COUNTA($B$9:B15)+100)</f>
        <v>SK-</v>
      </c>
      <c r="B15" s="15"/>
      <c r="C15" s="15"/>
      <c r="D15" s="15"/>
      <c r="E15" s="15"/>
      <c r="F15" s="15"/>
      <c r="G15" s="16"/>
      <c r="H15" s="16"/>
      <c r="I15" s="17"/>
      <c r="J15" s="15"/>
      <c r="K15" s="12" t="str">
        <f t="shared" si="2"/>
        <v xml:space="preserve"> </v>
      </c>
      <c r="L15" s="1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5">
        <f t="shared" si="3"/>
        <v>0</v>
      </c>
      <c r="AS15" s="15">
        <f t="shared" si="4"/>
        <v>0</v>
      </c>
      <c r="AT15" s="15">
        <f t="shared" si="5"/>
        <v>0</v>
      </c>
      <c r="AU15" s="15">
        <f t="shared" si="6"/>
        <v>0</v>
      </c>
      <c r="AV15" s="15">
        <f t="shared" si="7"/>
        <v>0</v>
      </c>
      <c r="AW15" s="15">
        <f t="shared" si="8"/>
        <v>0</v>
      </c>
      <c r="AX15" s="15">
        <f t="shared" si="9"/>
        <v>0</v>
      </c>
      <c r="AY15" s="15"/>
      <c r="AZ15" s="15">
        <f t="shared" si="10"/>
        <v>0</v>
      </c>
      <c r="BA15" s="15">
        <f t="shared" si="11"/>
        <v>0</v>
      </c>
      <c r="BB15" s="15">
        <f t="shared" si="12"/>
        <v>0</v>
      </c>
      <c r="BC15" s="15">
        <f t="shared" si="13"/>
        <v>0</v>
      </c>
      <c r="BD15" s="37">
        <f t="shared" si="14"/>
        <v>0</v>
      </c>
      <c r="BE15" s="15">
        <f t="shared" si="15"/>
        <v>0</v>
      </c>
      <c r="BF15" s="15">
        <f t="shared" si="16"/>
        <v>0</v>
      </c>
      <c r="BG15" s="41">
        <f t="shared" si="17"/>
        <v>0</v>
      </c>
      <c r="BH15" s="37">
        <f t="shared" si="18"/>
        <v>0</v>
      </c>
      <c r="BI15" s="1"/>
      <c r="BJ15" s="15"/>
      <c r="BK15" s="15">
        <f t="shared" si="19"/>
        <v>0</v>
      </c>
      <c r="BL15" s="37">
        <f t="shared" si="20"/>
        <v>0</v>
      </c>
      <c r="BM15" s="15"/>
      <c r="BN15" s="15"/>
    </row>
    <row r="16" spans="1:66" x14ac:dyDescent="0.25">
      <c r="A16" s="30" t="str">
        <f>$A$6&amp;IF(B16="","",COUNTA($B$9:B16)+100)</f>
        <v>SK-</v>
      </c>
      <c r="B16" s="15"/>
      <c r="C16" s="15"/>
      <c r="D16" s="15"/>
      <c r="E16" s="15"/>
      <c r="F16" s="15"/>
      <c r="G16" s="16"/>
      <c r="H16" s="16"/>
      <c r="I16" s="17"/>
      <c r="J16" s="15"/>
      <c r="K16" s="12" t="str">
        <f t="shared" si="2"/>
        <v xml:space="preserve"> </v>
      </c>
      <c r="L16" s="1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5">
        <f t="shared" si="3"/>
        <v>0</v>
      </c>
      <c r="AS16" s="15">
        <f t="shared" si="4"/>
        <v>0</v>
      </c>
      <c r="AT16" s="15">
        <f t="shared" si="5"/>
        <v>0</v>
      </c>
      <c r="AU16" s="15">
        <f t="shared" si="6"/>
        <v>0</v>
      </c>
      <c r="AV16" s="15">
        <f t="shared" si="7"/>
        <v>0</v>
      </c>
      <c r="AW16" s="15">
        <f t="shared" si="8"/>
        <v>0</v>
      </c>
      <c r="AX16" s="15">
        <f t="shared" si="9"/>
        <v>0</v>
      </c>
      <c r="AY16" s="15"/>
      <c r="AZ16" s="15">
        <f t="shared" si="10"/>
        <v>0</v>
      </c>
      <c r="BA16" s="15">
        <f t="shared" si="11"/>
        <v>0</v>
      </c>
      <c r="BB16" s="15">
        <f t="shared" si="12"/>
        <v>0</v>
      </c>
      <c r="BC16" s="15">
        <f t="shared" si="13"/>
        <v>0</v>
      </c>
      <c r="BD16" s="37">
        <f t="shared" si="14"/>
        <v>0</v>
      </c>
      <c r="BE16" s="15">
        <f t="shared" si="15"/>
        <v>0</v>
      </c>
      <c r="BF16" s="15">
        <f t="shared" si="16"/>
        <v>0</v>
      </c>
      <c r="BG16" s="41">
        <f t="shared" si="17"/>
        <v>0</v>
      </c>
      <c r="BH16" s="37">
        <f t="shared" si="18"/>
        <v>0</v>
      </c>
      <c r="BI16" s="1"/>
      <c r="BJ16" s="15"/>
      <c r="BK16" s="15">
        <f t="shared" si="19"/>
        <v>0</v>
      </c>
      <c r="BL16" s="37">
        <f t="shared" si="20"/>
        <v>0</v>
      </c>
      <c r="BM16" s="15"/>
      <c r="BN16" s="15"/>
    </row>
    <row r="17" spans="1:66" x14ac:dyDescent="0.25">
      <c r="A17" s="30" t="str">
        <f>$A$6&amp;IF(B17="","",COUNTA($B$9:B17)+100)</f>
        <v>SK-</v>
      </c>
      <c r="B17" s="15"/>
      <c r="C17" s="15"/>
      <c r="D17" s="15"/>
      <c r="E17" s="15"/>
      <c r="F17" s="15"/>
      <c r="G17" s="16"/>
      <c r="H17" s="16"/>
      <c r="I17" s="17"/>
      <c r="J17" s="15"/>
      <c r="K17" s="12" t="str">
        <f t="shared" si="2"/>
        <v xml:space="preserve"> </v>
      </c>
      <c r="L17" s="1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5">
        <f t="shared" si="3"/>
        <v>0</v>
      </c>
      <c r="AS17" s="15">
        <f t="shared" si="4"/>
        <v>0</v>
      </c>
      <c r="AT17" s="15">
        <f t="shared" si="5"/>
        <v>0</v>
      </c>
      <c r="AU17" s="15">
        <f t="shared" si="6"/>
        <v>0</v>
      </c>
      <c r="AV17" s="15">
        <f t="shared" si="7"/>
        <v>0</v>
      </c>
      <c r="AW17" s="15">
        <f t="shared" si="8"/>
        <v>0</v>
      </c>
      <c r="AX17" s="15">
        <f t="shared" si="9"/>
        <v>0</v>
      </c>
      <c r="AY17" s="15"/>
      <c r="AZ17" s="15">
        <f t="shared" si="10"/>
        <v>0</v>
      </c>
      <c r="BA17" s="15">
        <f t="shared" si="11"/>
        <v>0</v>
      </c>
      <c r="BB17" s="15">
        <f t="shared" si="12"/>
        <v>0</v>
      </c>
      <c r="BC17" s="15">
        <f t="shared" si="13"/>
        <v>0</v>
      </c>
      <c r="BD17" s="37">
        <f t="shared" si="14"/>
        <v>0</v>
      </c>
      <c r="BE17" s="15">
        <f t="shared" si="15"/>
        <v>0</v>
      </c>
      <c r="BF17" s="15">
        <f t="shared" si="16"/>
        <v>0</v>
      </c>
      <c r="BG17" s="41">
        <f t="shared" si="17"/>
        <v>0</v>
      </c>
      <c r="BH17" s="37">
        <f t="shared" si="18"/>
        <v>0</v>
      </c>
      <c r="BI17" s="1"/>
      <c r="BJ17" s="15"/>
      <c r="BK17" s="15">
        <f t="shared" si="19"/>
        <v>0</v>
      </c>
      <c r="BL17" s="37">
        <f t="shared" si="20"/>
        <v>0</v>
      </c>
      <c r="BM17" s="15"/>
      <c r="BN17" s="15"/>
    </row>
    <row r="18" spans="1:66" x14ac:dyDescent="0.25">
      <c r="A18" s="30" t="str">
        <f>$A$6&amp;IF(B18="","",COUNTA($B$9:B18)+100)</f>
        <v>SK-</v>
      </c>
      <c r="B18" s="15"/>
      <c r="C18" s="15"/>
      <c r="D18" s="15"/>
      <c r="E18" s="15"/>
      <c r="F18" s="15"/>
      <c r="G18" s="16"/>
      <c r="H18" s="16"/>
      <c r="I18" s="17"/>
      <c r="J18" s="15"/>
      <c r="K18" s="12" t="str">
        <f t="shared" si="2"/>
        <v xml:space="preserve"> </v>
      </c>
      <c r="L18" s="1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5">
        <f t="shared" si="3"/>
        <v>0</v>
      </c>
      <c r="AS18" s="15">
        <f t="shared" si="4"/>
        <v>0</v>
      </c>
      <c r="AT18" s="15">
        <f t="shared" si="5"/>
        <v>0</v>
      </c>
      <c r="AU18" s="15">
        <f t="shared" si="6"/>
        <v>0</v>
      </c>
      <c r="AV18" s="15">
        <f t="shared" si="7"/>
        <v>0</v>
      </c>
      <c r="AW18" s="15">
        <f t="shared" si="8"/>
        <v>0</v>
      </c>
      <c r="AX18" s="15">
        <f t="shared" si="9"/>
        <v>0</v>
      </c>
      <c r="AY18" s="15"/>
      <c r="AZ18" s="15">
        <f t="shared" si="10"/>
        <v>0</v>
      </c>
      <c r="BA18" s="15">
        <f t="shared" si="11"/>
        <v>0</v>
      </c>
      <c r="BB18" s="15">
        <f t="shared" si="12"/>
        <v>0</v>
      </c>
      <c r="BC18" s="15">
        <f t="shared" si="13"/>
        <v>0</v>
      </c>
      <c r="BD18" s="37">
        <f t="shared" si="14"/>
        <v>0</v>
      </c>
      <c r="BE18" s="15">
        <f t="shared" si="15"/>
        <v>0</v>
      </c>
      <c r="BF18" s="15">
        <f t="shared" si="16"/>
        <v>0</v>
      </c>
      <c r="BG18" s="41">
        <f t="shared" si="17"/>
        <v>0</v>
      </c>
      <c r="BH18" s="37">
        <f t="shared" si="18"/>
        <v>0</v>
      </c>
      <c r="BI18" s="1"/>
      <c r="BJ18" s="15"/>
      <c r="BK18" s="15">
        <f t="shared" si="19"/>
        <v>0</v>
      </c>
      <c r="BL18" s="37">
        <f t="shared" si="20"/>
        <v>0</v>
      </c>
      <c r="BM18" s="15"/>
      <c r="BN18" s="15"/>
    </row>
    <row r="19" spans="1:66" x14ac:dyDescent="0.25">
      <c r="A19" s="30" t="str">
        <f>$A$6&amp;IF(B19="","",COUNTA($B$9:B19)+100)</f>
        <v>SK-</v>
      </c>
      <c r="B19" s="15"/>
      <c r="C19" s="15"/>
      <c r="D19" s="15"/>
      <c r="E19" s="15"/>
      <c r="F19" s="15"/>
      <c r="G19" s="16"/>
      <c r="H19" s="16"/>
      <c r="I19" s="17"/>
      <c r="J19" s="15"/>
      <c r="K19" s="12" t="str">
        <f t="shared" si="2"/>
        <v xml:space="preserve"> </v>
      </c>
      <c r="L19" s="1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5">
        <f t="shared" si="3"/>
        <v>0</v>
      </c>
      <c r="AS19" s="15">
        <f t="shared" si="4"/>
        <v>0</v>
      </c>
      <c r="AT19" s="15">
        <f t="shared" si="5"/>
        <v>0</v>
      </c>
      <c r="AU19" s="15">
        <f t="shared" si="6"/>
        <v>0</v>
      </c>
      <c r="AV19" s="15">
        <f t="shared" si="7"/>
        <v>0</v>
      </c>
      <c r="AW19" s="15">
        <f t="shared" si="8"/>
        <v>0</v>
      </c>
      <c r="AX19" s="15">
        <f t="shared" si="9"/>
        <v>0</v>
      </c>
      <c r="AY19" s="15"/>
      <c r="AZ19" s="15">
        <f t="shared" si="10"/>
        <v>0</v>
      </c>
      <c r="BA19" s="15">
        <f t="shared" si="11"/>
        <v>0</v>
      </c>
      <c r="BB19" s="15">
        <f t="shared" si="12"/>
        <v>0</v>
      </c>
      <c r="BC19" s="15">
        <f t="shared" si="13"/>
        <v>0</v>
      </c>
      <c r="BD19" s="37">
        <f t="shared" si="14"/>
        <v>0</v>
      </c>
      <c r="BE19" s="15">
        <f t="shared" si="15"/>
        <v>0</v>
      </c>
      <c r="BF19" s="15">
        <f t="shared" si="16"/>
        <v>0</v>
      </c>
      <c r="BG19" s="41">
        <f t="shared" si="17"/>
        <v>0</v>
      </c>
      <c r="BH19" s="37">
        <f t="shared" si="18"/>
        <v>0</v>
      </c>
      <c r="BI19" s="1"/>
      <c r="BJ19" s="15"/>
      <c r="BK19" s="15">
        <f t="shared" si="19"/>
        <v>0</v>
      </c>
      <c r="BL19" s="37">
        <f t="shared" si="20"/>
        <v>0</v>
      </c>
      <c r="BM19" s="15"/>
      <c r="BN19" s="15"/>
    </row>
    <row r="20" spans="1:66" x14ac:dyDescent="0.25">
      <c r="A20" s="30" t="str">
        <f>$A$6&amp;IF(B20="","",COUNTA($B$9:B20)+100)</f>
        <v>SK-</v>
      </c>
      <c r="B20" s="15"/>
      <c r="C20" s="15"/>
      <c r="D20" s="15"/>
      <c r="E20" s="15"/>
      <c r="F20" s="15"/>
      <c r="G20" s="16"/>
      <c r="H20" s="16"/>
      <c r="I20" s="17"/>
      <c r="J20" s="15"/>
      <c r="K20" s="12" t="str">
        <f t="shared" si="2"/>
        <v xml:space="preserve"> </v>
      </c>
      <c r="L20" s="1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5">
        <f t="shared" si="3"/>
        <v>0</v>
      </c>
      <c r="AS20" s="15">
        <f t="shared" si="4"/>
        <v>0</v>
      </c>
      <c r="AT20" s="15">
        <f t="shared" si="5"/>
        <v>0</v>
      </c>
      <c r="AU20" s="15">
        <f t="shared" si="6"/>
        <v>0</v>
      </c>
      <c r="AV20" s="15">
        <f t="shared" si="7"/>
        <v>0</v>
      </c>
      <c r="AW20" s="15">
        <f t="shared" si="8"/>
        <v>0</v>
      </c>
      <c r="AX20" s="15">
        <f t="shared" si="9"/>
        <v>0</v>
      </c>
      <c r="AY20" s="15"/>
      <c r="AZ20" s="15">
        <f t="shared" si="10"/>
        <v>0</v>
      </c>
      <c r="BA20" s="15">
        <f t="shared" si="11"/>
        <v>0</v>
      </c>
      <c r="BB20" s="15">
        <f t="shared" si="12"/>
        <v>0</v>
      </c>
      <c r="BC20" s="15">
        <f t="shared" si="13"/>
        <v>0</v>
      </c>
      <c r="BD20" s="37">
        <f t="shared" si="14"/>
        <v>0</v>
      </c>
      <c r="BE20" s="15">
        <f t="shared" si="15"/>
        <v>0</v>
      </c>
      <c r="BF20" s="15">
        <f t="shared" si="16"/>
        <v>0</v>
      </c>
      <c r="BG20" s="41">
        <f t="shared" si="17"/>
        <v>0</v>
      </c>
      <c r="BH20" s="37">
        <f t="shared" si="18"/>
        <v>0</v>
      </c>
      <c r="BI20" s="1"/>
      <c r="BJ20" s="15"/>
      <c r="BK20" s="15">
        <f t="shared" si="19"/>
        <v>0</v>
      </c>
      <c r="BL20" s="37">
        <f t="shared" si="20"/>
        <v>0</v>
      </c>
      <c r="BM20" s="15"/>
      <c r="BN20" s="15"/>
    </row>
    <row r="21" spans="1:66" x14ac:dyDescent="0.25">
      <c r="A21" s="30" t="str">
        <f>$A$6&amp;IF(B21="","",COUNTA($B$9:B21)+100)</f>
        <v>SK-</v>
      </c>
      <c r="B21" s="15"/>
      <c r="C21" s="15"/>
      <c r="D21" s="15"/>
      <c r="E21" s="15"/>
      <c r="F21" s="15"/>
      <c r="G21" s="16"/>
      <c r="H21" s="16"/>
      <c r="I21" s="17"/>
      <c r="J21" s="15"/>
      <c r="K21" s="12" t="str">
        <f t="shared" si="2"/>
        <v xml:space="preserve"> </v>
      </c>
      <c r="L21" s="1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5">
        <f t="shared" si="3"/>
        <v>0</v>
      </c>
      <c r="AS21" s="15">
        <f t="shared" si="4"/>
        <v>0</v>
      </c>
      <c r="AT21" s="15">
        <f t="shared" si="5"/>
        <v>0</v>
      </c>
      <c r="AU21" s="15">
        <f t="shared" si="6"/>
        <v>0</v>
      </c>
      <c r="AV21" s="15">
        <f t="shared" si="7"/>
        <v>0</v>
      </c>
      <c r="AW21" s="15">
        <f t="shared" si="8"/>
        <v>0</v>
      </c>
      <c r="AX21" s="15">
        <f t="shared" si="9"/>
        <v>0</v>
      </c>
      <c r="AY21" s="15"/>
      <c r="AZ21" s="15">
        <f t="shared" si="10"/>
        <v>0</v>
      </c>
      <c r="BA21" s="15">
        <f t="shared" si="11"/>
        <v>0</v>
      </c>
      <c r="BB21" s="15">
        <f t="shared" si="12"/>
        <v>0</v>
      </c>
      <c r="BC21" s="15">
        <f t="shared" si="13"/>
        <v>0</v>
      </c>
      <c r="BD21" s="37">
        <f t="shared" si="14"/>
        <v>0</v>
      </c>
      <c r="BE21" s="15">
        <f t="shared" si="15"/>
        <v>0</v>
      </c>
      <c r="BF21" s="15">
        <f t="shared" si="16"/>
        <v>0</v>
      </c>
      <c r="BG21" s="41">
        <f t="shared" si="17"/>
        <v>0</v>
      </c>
      <c r="BH21" s="37">
        <f t="shared" si="18"/>
        <v>0</v>
      </c>
      <c r="BI21" s="1"/>
      <c r="BJ21" s="15"/>
      <c r="BK21" s="15">
        <f t="shared" si="19"/>
        <v>0</v>
      </c>
      <c r="BL21" s="37">
        <f t="shared" si="20"/>
        <v>0</v>
      </c>
      <c r="BM21" s="15"/>
      <c r="BN21" s="15"/>
    </row>
  </sheetData>
  <mergeCells count="3">
    <mergeCell ref="A1:AR2"/>
    <mergeCell ref="AZ6:BB6"/>
    <mergeCell ref="BE6:BG6"/>
  </mergeCells>
  <conditionalFormatting sqref="A9:A21">
    <cfRule type="expression" dxfId="25" priority="9">
      <formula>A9="SK-"</formula>
    </cfRule>
  </conditionalFormatting>
  <conditionalFormatting sqref="K9:K21">
    <cfRule type="expression" dxfId="24" priority="10">
      <formula>K9:K21="Emp. Resign this Company"</formula>
    </cfRule>
  </conditionalFormatting>
  <conditionalFormatting sqref="M9:AQ21">
    <cfRule type="expression" dxfId="23" priority="5">
      <formula>M9="P"</formula>
    </cfRule>
    <cfRule type="expression" dxfId="22" priority="6">
      <formula>M9="L"</formula>
    </cfRule>
    <cfRule type="expression" dxfId="21" priority="7">
      <formula>M9="H"</formula>
    </cfRule>
    <cfRule type="expression" dxfId="20" priority="8">
      <formula>M9="A"</formula>
    </cfRule>
    <cfRule type="expression" dxfId="19" priority="13">
      <formula>M$7="sun"</formula>
    </cfRule>
  </conditionalFormatting>
  <conditionalFormatting sqref="AO8">
    <cfRule type="expression" dxfId="18" priority="12">
      <formula>$AO$8=DATEVLUE(1/29/2024)</formula>
    </cfRule>
  </conditionalFormatting>
  <conditionalFormatting sqref="AP8">
    <cfRule type="expression" dxfId="17" priority="11">
      <formula>$AP$8=DATEVALUE("2/30/2024")</formula>
    </cfRule>
  </conditionalFormatting>
  <conditionalFormatting sqref="AR9:BL21">
    <cfRule type="expression" dxfId="16" priority="4">
      <formula>AR9=0</formula>
    </cfRule>
  </conditionalFormatting>
  <conditionalFormatting sqref="BM9:BN21">
    <cfRule type="expression" dxfId="15" priority="1">
      <formula>$BN9="Process"</formula>
    </cfRule>
    <cfRule type="expression" dxfId="14" priority="2">
      <formula>$BN9="Pending"</formula>
    </cfRule>
    <cfRule type="expression" dxfId="13" priority="3">
      <formula>$BN9="done"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'data sheet'!$D$2:$D$4</xm:f>
          </x14:formula1>
          <xm:sqref>BN9:BN21</xm:sqref>
        </x14:dataValidation>
        <x14:dataValidation type="list" allowBlank="1" showInputMessage="1" showErrorMessage="1">
          <x14:formula1>
            <xm:f>'data sheet'!$Q$1:$Q$12</xm:f>
          </x14:formula1>
          <xm:sqref>L5</xm:sqref>
        </x14:dataValidation>
        <x14:dataValidation type="list" allowBlank="1" showInputMessage="1" showErrorMessage="1">
          <x14:formula1>
            <xm:f>'data sheet'!$P$1:$P$99</xm:f>
          </x14:formula1>
          <xm:sqref>M5</xm:sqref>
        </x14:dataValidation>
        <x14:dataValidation type="list" allowBlank="1" showInputMessage="1" showErrorMessage="1">
          <x14:formula1>
            <xm:f>'data sheet'!$C$2:$C$9</xm:f>
          </x14:formula1>
          <xm:sqref>D9:D21</xm:sqref>
        </x14:dataValidation>
        <x14:dataValidation type="list" allowBlank="1" showInputMessage="1" showErrorMessage="1">
          <x14:formula1>
            <xm:f>'data sheet'!$B$2:$B$6</xm:f>
          </x14:formula1>
          <xm:sqref>C9:C21</xm:sqref>
        </x14:dataValidation>
        <x14:dataValidation type="list" allowBlank="1" showInputMessage="1" showErrorMessage="1">
          <x14:formula1>
            <xm:f>'data sheet'!$A$2:$A$14</xm:f>
          </x14:formula1>
          <xm:sqref>B9:B21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21"/>
  <sheetViews>
    <sheetView topLeftCell="A3" workbookViewId="0">
      <selection activeCell="A22" sqref="A22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5.85546875" bestFit="1" customWidth="1"/>
    <col min="4" max="4" width="4.85546875" bestFit="1" customWidth="1"/>
    <col min="5" max="5" width="7.7109375" bestFit="1" customWidth="1"/>
    <col min="6" max="6" width="7.140625" bestFit="1" customWidth="1"/>
    <col min="7" max="7" width="7.28515625" bestFit="1" customWidth="1"/>
    <col min="9" max="9" width="9" bestFit="1" customWidth="1"/>
    <col min="10" max="10" width="9.7109375" bestFit="1" customWidth="1"/>
    <col min="11" max="11" width="11.42578125" bestFit="1" customWidth="1"/>
    <col min="12" max="12" width="7" bestFit="1" customWidth="1"/>
    <col min="13" max="43" width="10.42578125" bestFit="1" customWidth="1"/>
    <col min="44" max="44" width="9.85546875" bestFit="1" customWidth="1"/>
    <col min="45" max="45" width="7.85546875" bestFit="1" customWidth="1"/>
    <col min="46" max="46" width="7.28515625" bestFit="1" customWidth="1"/>
    <col min="47" max="47" width="6.140625" bestFit="1" customWidth="1"/>
    <col min="48" max="48" width="7.42578125" bestFit="1" customWidth="1"/>
    <col min="49" max="49" width="8.140625" bestFit="1" customWidth="1"/>
    <col min="50" max="50" width="12.7109375" bestFit="1" customWidth="1"/>
    <col min="51" max="51" width="11.140625" bestFit="1" customWidth="1"/>
    <col min="52" max="52" width="19.7109375" bestFit="1" customWidth="1"/>
    <col min="53" max="53" width="21.85546875" bestFit="1" customWidth="1"/>
    <col min="54" max="54" width="22" bestFit="1" customWidth="1"/>
    <col min="55" max="55" width="27.5703125" bestFit="1" customWidth="1"/>
    <col min="56" max="56" width="8.7109375" bestFit="1" customWidth="1"/>
    <col min="57" max="57" width="4.5703125" bestFit="1" customWidth="1"/>
    <col min="58" max="58" width="4.7109375" bestFit="1" customWidth="1"/>
    <col min="59" max="59" width="22.42578125" bestFit="1" customWidth="1"/>
    <col min="60" max="60" width="11.7109375" bestFit="1" customWidth="1"/>
    <col min="61" max="61" width="8.5703125" bestFit="1" customWidth="1"/>
    <col min="62" max="62" width="14.28515625" bestFit="1" customWidth="1"/>
    <col min="63" max="64" width="10" bestFit="1" customWidth="1"/>
    <col min="65" max="65" width="15.85546875" bestFit="1" customWidth="1"/>
    <col min="66" max="66" width="6.42578125" bestFit="1" customWidth="1"/>
  </cols>
  <sheetData>
    <row r="1" spans="1:66" ht="30" customHeight="1" x14ac:dyDescent="0.25">
      <c r="A1" s="49" t="str">
        <f>"Attendance for"&amp;" "&amp;TEXT(P4,"mmmm yyyy")&amp;" "&amp;"Month"</f>
        <v>Attendance for December 2025 Month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BB1" s="15"/>
      <c r="BC1" s="42">
        <f>$AY$9/30</f>
        <v>0</v>
      </c>
      <c r="BD1" s="39">
        <f>BC1*30</f>
        <v>0</v>
      </c>
      <c r="BE1" s="39"/>
      <c r="BF1" s="39"/>
    </row>
    <row r="2" spans="1:66" ht="30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X2" s="23" t="s">
        <v>87</v>
      </c>
      <c r="AY2" s="24" t="s">
        <v>40</v>
      </c>
      <c r="AZ2" s="36" t="s">
        <v>70</v>
      </c>
      <c r="BA2" s="36" t="s">
        <v>71</v>
      </c>
      <c r="BB2" s="31" t="s">
        <v>67</v>
      </c>
      <c r="BC2" s="35" t="s">
        <v>68</v>
      </c>
      <c r="BD2" s="32" t="s">
        <v>89</v>
      </c>
      <c r="BE2" s="39"/>
      <c r="BF2" s="39">
        <f>AX9*BC1</f>
        <v>0</v>
      </c>
    </row>
    <row r="3" spans="1:66" x14ac:dyDescent="0.25">
      <c r="AX3" s="37">
        <f>$BC$1*$AV$9</f>
        <v>0</v>
      </c>
      <c r="AY3" s="37">
        <f>$BC$1*$AW$9/2</f>
        <v>0</v>
      </c>
      <c r="AZ3" s="37">
        <f>$BC$1*$AU$9/2</f>
        <v>0</v>
      </c>
      <c r="BA3" s="37">
        <f>$BC$1/8*$BJ$9</f>
        <v>0</v>
      </c>
      <c r="BB3" s="37">
        <f>$BC$1*$AT$9</f>
        <v>0</v>
      </c>
      <c r="BC3" s="15">
        <f>$BC$1*$AS$9</f>
        <v>0</v>
      </c>
      <c r="BD3" s="40">
        <f>(AX3)+(AY3)+(AZ3)+(BC3)</f>
        <v>0</v>
      </c>
      <c r="BE3" s="39"/>
      <c r="BF3" s="39"/>
    </row>
    <row r="4" spans="1:66" x14ac:dyDescent="0.25">
      <c r="L4" s="34" t="s">
        <v>14</v>
      </c>
      <c r="M4" s="34" t="s">
        <v>15</v>
      </c>
      <c r="O4" s="34" t="s">
        <v>0</v>
      </c>
      <c r="P4" s="3">
        <f>DATEVALUE("1"&amp;L5&amp;M5)</f>
        <v>45992</v>
      </c>
      <c r="AX4" s="15"/>
      <c r="AY4" s="15"/>
      <c r="AZ4" s="15"/>
      <c r="BA4" s="15"/>
      <c r="BB4" s="15"/>
      <c r="BC4" s="15"/>
      <c r="BD4" s="32"/>
      <c r="BE4" s="39"/>
      <c r="BF4" s="39"/>
    </row>
    <row r="5" spans="1:66" x14ac:dyDescent="0.25">
      <c r="L5" s="2" t="s">
        <v>13</v>
      </c>
      <c r="M5" s="2">
        <v>2025</v>
      </c>
      <c r="O5" s="34" t="s">
        <v>1</v>
      </c>
      <c r="P5" s="3">
        <f>EOMONTH(P4,0)</f>
        <v>46022</v>
      </c>
      <c r="AX5" s="10"/>
      <c r="AY5" s="10"/>
      <c r="AZ5" s="10"/>
      <c r="BA5" s="10"/>
      <c r="BB5" s="10"/>
      <c r="BC5" s="38"/>
      <c r="BD5" s="10"/>
      <c r="BI5" s="11"/>
      <c r="BJ5" s="11"/>
      <c r="BL5" s="11"/>
    </row>
    <row r="6" spans="1:66" x14ac:dyDescent="0.25">
      <c r="A6" s="32" t="s">
        <v>86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2"/>
      <c r="P6" s="13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X6" s="10"/>
      <c r="AZ6" s="48" t="s">
        <v>44</v>
      </c>
      <c r="BA6" s="48"/>
      <c r="BB6" s="48"/>
      <c r="BE6" s="51" t="s">
        <v>45</v>
      </c>
      <c r="BF6" s="51"/>
      <c r="BG6" s="52"/>
    </row>
    <row r="7" spans="1:6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8" t="str">
        <f t="shared" ref="M7:AQ7" si="0">TEXT(M8,"Ddd")</f>
        <v>Mon</v>
      </c>
      <c r="N7" s="8" t="str">
        <f t="shared" si="0"/>
        <v>Tue</v>
      </c>
      <c r="O7" s="8" t="str">
        <f t="shared" si="0"/>
        <v>Wed</v>
      </c>
      <c r="P7" s="8" t="str">
        <f t="shared" si="0"/>
        <v>Thu</v>
      </c>
      <c r="Q7" s="8" t="str">
        <f t="shared" si="0"/>
        <v>Fri</v>
      </c>
      <c r="R7" s="8" t="str">
        <f t="shared" si="0"/>
        <v>Sat</v>
      </c>
      <c r="S7" s="8" t="str">
        <f t="shared" si="0"/>
        <v>Sun</v>
      </c>
      <c r="T7" s="8" t="str">
        <f t="shared" si="0"/>
        <v>Mon</v>
      </c>
      <c r="U7" s="8" t="str">
        <f t="shared" si="0"/>
        <v>Tue</v>
      </c>
      <c r="V7" s="8" t="str">
        <f t="shared" si="0"/>
        <v>Wed</v>
      </c>
      <c r="W7" s="8" t="str">
        <f t="shared" si="0"/>
        <v>Thu</v>
      </c>
      <c r="X7" s="8" t="str">
        <f t="shared" si="0"/>
        <v>Fri</v>
      </c>
      <c r="Y7" s="8" t="str">
        <f t="shared" si="0"/>
        <v>Sat</v>
      </c>
      <c r="Z7" s="8" t="str">
        <f t="shared" si="0"/>
        <v>Sun</v>
      </c>
      <c r="AA7" s="8" t="str">
        <f t="shared" si="0"/>
        <v>Mon</v>
      </c>
      <c r="AB7" s="8" t="str">
        <f t="shared" si="0"/>
        <v>Tue</v>
      </c>
      <c r="AC7" s="8" t="str">
        <f t="shared" si="0"/>
        <v>Wed</v>
      </c>
      <c r="AD7" s="8" t="str">
        <f t="shared" si="0"/>
        <v>Thu</v>
      </c>
      <c r="AE7" s="8" t="str">
        <f t="shared" si="0"/>
        <v>Fri</v>
      </c>
      <c r="AF7" s="8" t="str">
        <f t="shared" si="0"/>
        <v>Sat</v>
      </c>
      <c r="AG7" s="8" t="str">
        <f t="shared" si="0"/>
        <v>Sun</v>
      </c>
      <c r="AH7" s="8" t="str">
        <f t="shared" si="0"/>
        <v>Mon</v>
      </c>
      <c r="AI7" s="8" t="str">
        <f t="shared" si="0"/>
        <v>Tue</v>
      </c>
      <c r="AJ7" s="8" t="str">
        <f t="shared" si="0"/>
        <v>Wed</v>
      </c>
      <c r="AK7" s="8" t="str">
        <f t="shared" si="0"/>
        <v>Thu</v>
      </c>
      <c r="AL7" s="8" t="str">
        <f t="shared" si="0"/>
        <v>Fri</v>
      </c>
      <c r="AM7" s="8" t="str">
        <f t="shared" si="0"/>
        <v>Sat</v>
      </c>
      <c r="AN7" s="8" t="str">
        <f t="shared" si="0"/>
        <v>Sun</v>
      </c>
      <c r="AO7" s="8" t="str">
        <f t="shared" si="0"/>
        <v>Mon</v>
      </c>
      <c r="AP7" s="8" t="str">
        <f t="shared" si="0"/>
        <v>Tue</v>
      </c>
      <c r="AQ7" s="8" t="str">
        <f t="shared" si="0"/>
        <v>Wed</v>
      </c>
      <c r="AX7" s="10"/>
      <c r="AY7" s="10"/>
      <c r="AZ7" s="28">
        <v>0.03</v>
      </c>
      <c r="BA7" s="28">
        <v>0.05</v>
      </c>
      <c r="BB7" s="28">
        <v>7.0000000000000007E-2</v>
      </c>
      <c r="BC7" s="10"/>
      <c r="BE7" s="29">
        <v>0.12</v>
      </c>
      <c r="BF7" s="29">
        <v>0.02</v>
      </c>
      <c r="BH7" s="10"/>
      <c r="BM7" s="10"/>
      <c r="BN7" s="10"/>
    </row>
    <row r="8" spans="1:66" x14ac:dyDescent="0.25">
      <c r="A8" s="14" t="s">
        <v>16</v>
      </c>
      <c r="B8" s="14" t="s">
        <v>17</v>
      </c>
      <c r="C8" s="14" t="s">
        <v>58</v>
      </c>
      <c r="D8" s="14" t="s">
        <v>59</v>
      </c>
      <c r="E8" s="14" t="s">
        <v>60</v>
      </c>
      <c r="F8" s="14" t="s">
        <v>61</v>
      </c>
      <c r="G8" s="14" t="s">
        <v>18</v>
      </c>
      <c r="H8" s="14" t="s">
        <v>41</v>
      </c>
      <c r="I8" s="14" t="s">
        <v>64</v>
      </c>
      <c r="J8" s="14" t="s">
        <v>63</v>
      </c>
      <c r="K8" s="14" t="s">
        <v>65</v>
      </c>
      <c r="L8" s="14" t="s">
        <v>20</v>
      </c>
      <c r="M8" s="46">
        <f>P4</f>
        <v>45992</v>
      </c>
      <c r="N8" s="46">
        <f t="shared" ref="N8:AM8" si="1">M8+1</f>
        <v>45993</v>
      </c>
      <c r="O8" s="46">
        <f t="shared" si="1"/>
        <v>45994</v>
      </c>
      <c r="P8" s="46">
        <f t="shared" si="1"/>
        <v>45995</v>
      </c>
      <c r="Q8" s="46">
        <f t="shared" si="1"/>
        <v>45996</v>
      </c>
      <c r="R8" s="46">
        <f t="shared" si="1"/>
        <v>45997</v>
      </c>
      <c r="S8" s="46">
        <f t="shared" si="1"/>
        <v>45998</v>
      </c>
      <c r="T8" s="46">
        <f t="shared" si="1"/>
        <v>45999</v>
      </c>
      <c r="U8" s="46">
        <f t="shared" si="1"/>
        <v>46000</v>
      </c>
      <c r="V8" s="46">
        <f t="shared" si="1"/>
        <v>46001</v>
      </c>
      <c r="W8" s="46">
        <f t="shared" si="1"/>
        <v>46002</v>
      </c>
      <c r="X8" s="46">
        <f t="shared" si="1"/>
        <v>46003</v>
      </c>
      <c r="Y8" s="46">
        <f t="shared" si="1"/>
        <v>46004</v>
      </c>
      <c r="Z8" s="46">
        <f t="shared" si="1"/>
        <v>46005</v>
      </c>
      <c r="AA8" s="46">
        <f t="shared" si="1"/>
        <v>46006</v>
      </c>
      <c r="AB8" s="46">
        <f t="shared" si="1"/>
        <v>46007</v>
      </c>
      <c r="AC8" s="46">
        <f t="shared" si="1"/>
        <v>46008</v>
      </c>
      <c r="AD8" s="46">
        <f t="shared" si="1"/>
        <v>46009</v>
      </c>
      <c r="AE8" s="46">
        <f t="shared" si="1"/>
        <v>46010</v>
      </c>
      <c r="AF8" s="46">
        <f t="shared" si="1"/>
        <v>46011</v>
      </c>
      <c r="AG8" s="46">
        <f t="shared" si="1"/>
        <v>46012</v>
      </c>
      <c r="AH8" s="46">
        <f t="shared" si="1"/>
        <v>46013</v>
      </c>
      <c r="AI8" s="46">
        <f t="shared" si="1"/>
        <v>46014</v>
      </c>
      <c r="AJ8" s="46">
        <f t="shared" si="1"/>
        <v>46015</v>
      </c>
      <c r="AK8" s="46">
        <f t="shared" si="1"/>
        <v>46016</v>
      </c>
      <c r="AL8" s="46">
        <f t="shared" si="1"/>
        <v>46017</v>
      </c>
      <c r="AM8" s="46">
        <f t="shared" si="1"/>
        <v>46018</v>
      </c>
      <c r="AN8" s="46">
        <f>IF(AM8&lt;$P$5,AM8+1," ")</f>
        <v>46019</v>
      </c>
      <c r="AO8" s="46">
        <f>IF(AN8&lt;$P$5,AN8+1," ")</f>
        <v>46020</v>
      </c>
      <c r="AP8" s="46">
        <f>IF(AO8&lt;$P$5,AO8+1," ")</f>
        <v>46021</v>
      </c>
      <c r="AQ8" s="46">
        <f>IF(AP8&lt;$P$5,AP8+1," ")</f>
        <v>46022</v>
      </c>
      <c r="AR8" s="21" t="s">
        <v>42</v>
      </c>
      <c r="AS8" s="18" t="s">
        <v>25</v>
      </c>
      <c r="AT8" s="22" t="s">
        <v>38</v>
      </c>
      <c r="AU8" s="23" t="s">
        <v>39</v>
      </c>
      <c r="AV8" s="23" t="s">
        <v>87</v>
      </c>
      <c r="AW8" s="24" t="s">
        <v>40</v>
      </c>
      <c r="AX8" s="25" t="s">
        <v>43</v>
      </c>
      <c r="AY8" s="4" t="s">
        <v>46</v>
      </c>
      <c r="AZ8" s="4" t="s">
        <v>49</v>
      </c>
      <c r="BA8" s="26" t="s">
        <v>50</v>
      </c>
      <c r="BB8" s="8" t="s">
        <v>51</v>
      </c>
      <c r="BC8" s="27" t="s">
        <v>52</v>
      </c>
      <c r="BD8" s="20" t="s">
        <v>53</v>
      </c>
      <c r="BE8" s="7" t="s">
        <v>54</v>
      </c>
      <c r="BF8" s="9" t="s">
        <v>69</v>
      </c>
      <c r="BG8" s="45" t="s">
        <v>95</v>
      </c>
      <c r="BH8" s="27" t="s">
        <v>55</v>
      </c>
      <c r="BI8" s="7" t="s">
        <v>48</v>
      </c>
      <c r="BJ8" s="5" t="s">
        <v>62</v>
      </c>
      <c r="BK8" s="6" t="s">
        <v>47</v>
      </c>
      <c r="BL8" s="19" t="s">
        <v>56</v>
      </c>
      <c r="BM8" s="20" t="s">
        <v>57</v>
      </c>
      <c r="BN8" s="44" t="s">
        <v>91</v>
      </c>
    </row>
    <row r="9" spans="1:66" x14ac:dyDescent="0.25">
      <c r="A9" s="30" t="str">
        <f>$A$6&amp;IF(B9="","",COUNTA($B$9:B9)+100)</f>
        <v>SK-</v>
      </c>
      <c r="B9" s="15"/>
      <c r="C9" s="15"/>
      <c r="D9" s="15"/>
      <c r="E9" s="15"/>
      <c r="F9" s="15"/>
      <c r="G9" s="16"/>
      <c r="H9" s="16"/>
      <c r="I9" s="17"/>
      <c r="J9" s="17"/>
      <c r="K9" s="12" t="str">
        <f>IF($J9=""," ","Emp. Resign this Company")</f>
        <v xml:space="preserve"> </v>
      </c>
      <c r="L9" s="1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5">
        <f>COUNTA(M9:AQ9)</f>
        <v>0</v>
      </c>
      <c r="AS9" s="15">
        <f>COUNTIF(M9:AQ9,"P")</f>
        <v>0</v>
      </c>
      <c r="AT9" s="15">
        <f>COUNTIF(M9:AQ9,"A")</f>
        <v>0</v>
      </c>
      <c r="AU9" s="15">
        <f>COUNTIF(M9:AQ9,"L")</f>
        <v>0</v>
      </c>
      <c r="AV9" s="15">
        <f>COUNTIF(M9:AQ9,"SUN")</f>
        <v>0</v>
      </c>
      <c r="AW9" s="15">
        <f>COUNTIF(M9:AQ9,"H")</f>
        <v>0</v>
      </c>
      <c r="AX9" s="15">
        <f>($AR9-$AT9)-($AW9/2)-($AU9/2)</f>
        <v>0</v>
      </c>
      <c r="AY9" s="15"/>
      <c r="AZ9" s="15">
        <f>$AY9*$AZ$7</f>
        <v>0</v>
      </c>
      <c r="BA9" s="15">
        <f>$AY9*$BA$7</f>
        <v>0</v>
      </c>
      <c r="BB9" s="15">
        <f>$AY9*$BB$7</f>
        <v>0</v>
      </c>
      <c r="BC9" s="15">
        <f>$AZ9+$BA9+$BB9</f>
        <v>0</v>
      </c>
      <c r="BD9" s="37">
        <f>($AY9+$BC9)</f>
        <v>0</v>
      </c>
      <c r="BE9" s="15">
        <f>$AY9*$BE$7</f>
        <v>0</v>
      </c>
      <c r="BF9" s="15">
        <f>$AY9*$BF$7</f>
        <v>0</v>
      </c>
      <c r="BG9" s="41">
        <f>$BC$1*$AT9</f>
        <v>0</v>
      </c>
      <c r="BH9" s="37">
        <f>$BE9+$BF9+$BG9</f>
        <v>0</v>
      </c>
      <c r="BI9" s="1"/>
      <c r="BJ9" s="15"/>
      <c r="BK9" s="15">
        <f>IF($BA$4="",$AY9/30/8*$BJ9,$BA4*$BJ9)</f>
        <v>0</v>
      </c>
      <c r="BL9" s="37">
        <f>($BD9-$BH9)-$BI9</f>
        <v>0</v>
      </c>
      <c r="BM9" s="17"/>
      <c r="BN9" s="15"/>
    </row>
    <row r="10" spans="1:66" x14ac:dyDescent="0.25">
      <c r="A10" s="30" t="str">
        <f>$A$6&amp;IF(B10="","",COUNTA($B$9:B10)+100)</f>
        <v>SK-</v>
      </c>
      <c r="B10" s="15"/>
      <c r="C10" s="15"/>
      <c r="D10" s="15"/>
      <c r="E10" s="15"/>
      <c r="F10" s="15"/>
      <c r="G10" s="16"/>
      <c r="H10" s="16"/>
      <c r="I10" s="17"/>
      <c r="J10" s="17"/>
      <c r="K10" s="12" t="str">
        <f t="shared" ref="K10:K21" si="2">IF($J10=""," ","Emp. Resign this Company")</f>
        <v xml:space="preserve"> </v>
      </c>
      <c r="L10" s="1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5">
        <f t="shared" ref="AR10:AR21" si="3">COUNTA(M10:AQ10)</f>
        <v>0</v>
      </c>
      <c r="AS10" s="15">
        <f t="shared" ref="AS10:AS21" si="4">COUNTIF(M10:AQ10,"P")</f>
        <v>0</v>
      </c>
      <c r="AT10" s="15">
        <f t="shared" ref="AT10:AT21" si="5">COUNTIF(M10:AQ10,"A")</f>
        <v>0</v>
      </c>
      <c r="AU10" s="15">
        <f t="shared" ref="AU10:AU21" si="6">COUNTIF(M10:AQ10,"L")</f>
        <v>0</v>
      </c>
      <c r="AV10" s="15">
        <f t="shared" ref="AV10:AV21" si="7">COUNTIF(M10:AQ10,"SUN")</f>
        <v>0</v>
      </c>
      <c r="AW10" s="15">
        <f t="shared" ref="AW10:AW21" si="8">COUNTIF(M10:AQ10,"H")</f>
        <v>0</v>
      </c>
      <c r="AX10" s="15">
        <f t="shared" ref="AX10:AX21" si="9">($AR10-$AT10)-($AW10/2)-($AU10/2)</f>
        <v>0</v>
      </c>
      <c r="AY10" s="15"/>
      <c r="AZ10" s="15">
        <f t="shared" ref="AZ10:AZ21" si="10">$AY10*$AZ$7</f>
        <v>0</v>
      </c>
      <c r="BA10" s="15">
        <f t="shared" ref="BA10:BA21" si="11">$AY10*$BA$7</f>
        <v>0</v>
      </c>
      <c r="BB10" s="15">
        <f t="shared" ref="BB10:BB21" si="12">$AY10*$BB$7</f>
        <v>0</v>
      </c>
      <c r="BC10" s="15">
        <f t="shared" ref="BC10:BC21" si="13">$AZ10+$BA10+$BB10</f>
        <v>0</v>
      </c>
      <c r="BD10" s="37">
        <f t="shared" ref="BD10:BD21" si="14">($AY10+$BC10)</f>
        <v>0</v>
      </c>
      <c r="BE10" s="15">
        <f t="shared" ref="BE10:BE21" si="15">$AY10*$BE$7</f>
        <v>0</v>
      </c>
      <c r="BF10" s="15">
        <f t="shared" ref="BF10:BF21" si="16">$AY10*$BF$7</f>
        <v>0</v>
      </c>
      <c r="BG10" s="41">
        <f t="shared" ref="BG10:BG21" si="17">$BC$1*$AT10</f>
        <v>0</v>
      </c>
      <c r="BH10" s="37">
        <f t="shared" ref="BH10:BH21" si="18">$BE10+$BF10+$BG10</f>
        <v>0</v>
      </c>
      <c r="BI10" s="1"/>
      <c r="BJ10" s="15"/>
      <c r="BK10" s="15">
        <f t="shared" ref="BK10:BK21" si="19">IF($BA$4="",$AY10/30/8*$BJ10,$BA5*$BJ10)</f>
        <v>0</v>
      </c>
      <c r="BL10" s="37">
        <f t="shared" ref="BL10:BL21" si="20">($BD10-$BH10)-$BI10</f>
        <v>0</v>
      </c>
      <c r="BM10" s="15"/>
      <c r="BN10" s="15"/>
    </row>
    <row r="11" spans="1:66" x14ac:dyDescent="0.25">
      <c r="A11" s="30" t="str">
        <f>$A$6&amp;IF(B11="","",COUNTA($B$9:B11)+100)</f>
        <v>SK-</v>
      </c>
      <c r="B11" s="15"/>
      <c r="C11" s="15"/>
      <c r="D11" s="15"/>
      <c r="E11" s="15"/>
      <c r="F11" s="15"/>
      <c r="G11" s="16"/>
      <c r="H11" s="16"/>
      <c r="I11" s="17"/>
      <c r="J11" s="15"/>
      <c r="K11" s="12" t="str">
        <f t="shared" si="2"/>
        <v xml:space="preserve"> </v>
      </c>
      <c r="L11" s="1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5">
        <f t="shared" si="3"/>
        <v>0</v>
      </c>
      <c r="AS11" s="15">
        <f t="shared" si="4"/>
        <v>0</v>
      </c>
      <c r="AT11" s="15">
        <f t="shared" si="5"/>
        <v>0</v>
      </c>
      <c r="AU11" s="15">
        <f t="shared" si="6"/>
        <v>0</v>
      </c>
      <c r="AV11" s="15">
        <f t="shared" si="7"/>
        <v>0</v>
      </c>
      <c r="AW11" s="15">
        <f t="shared" si="8"/>
        <v>0</v>
      </c>
      <c r="AX11" s="15">
        <f t="shared" si="9"/>
        <v>0</v>
      </c>
      <c r="AY11" s="15"/>
      <c r="AZ11" s="15">
        <f t="shared" si="10"/>
        <v>0</v>
      </c>
      <c r="BA11" s="15">
        <f t="shared" si="11"/>
        <v>0</v>
      </c>
      <c r="BB11" s="15">
        <f t="shared" si="12"/>
        <v>0</v>
      </c>
      <c r="BC11" s="15">
        <f t="shared" si="13"/>
        <v>0</v>
      </c>
      <c r="BD11" s="37">
        <f t="shared" si="14"/>
        <v>0</v>
      </c>
      <c r="BE11" s="15">
        <f t="shared" si="15"/>
        <v>0</v>
      </c>
      <c r="BF11" s="15">
        <f t="shared" si="16"/>
        <v>0</v>
      </c>
      <c r="BG11" s="41">
        <f t="shared" si="17"/>
        <v>0</v>
      </c>
      <c r="BH11" s="37">
        <f t="shared" si="18"/>
        <v>0</v>
      </c>
      <c r="BI11" s="1"/>
      <c r="BJ11" s="15"/>
      <c r="BK11" s="15">
        <f t="shared" si="19"/>
        <v>0</v>
      </c>
      <c r="BL11" s="37">
        <f t="shared" si="20"/>
        <v>0</v>
      </c>
      <c r="BM11" s="15"/>
      <c r="BN11" s="15"/>
    </row>
    <row r="12" spans="1:66" x14ac:dyDescent="0.25">
      <c r="A12" s="30" t="str">
        <f>$A$6&amp;IF(B12="","",COUNTA($B$9:B12)+100)</f>
        <v>SK-</v>
      </c>
      <c r="B12" s="15"/>
      <c r="C12" s="15"/>
      <c r="D12" s="15"/>
      <c r="E12" s="15"/>
      <c r="F12" s="15"/>
      <c r="G12" s="16"/>
      <c r="H12" s="16"/>
      <c r="I12" s="17"/>
      <c r="J12" s="15"/>
      <c r="K12" s="12" t="str">
        <f t="shared" si="2"/>
        <v xml:space="preserve"> </v>
      </c>
      <c r="L12" s="1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5">
        <f t="shared" si="3"/>
        <v>0</v>
      </c>
      <c r="AS12" s="15">
        <f t="shared" si="4"/>
        <v>0</v>
      </c>
      <c r="AT12" s="15">
        <f t="shared" si="5"/>
        <v>0</v>
      </c>
      <c r="AU12" s="15">
        <f t="shared" si="6"/>
        <v>0</v>
      </c>
      <c r="AV12" s="15">
        <f t="shared" si="7"/>
        <v>0</v>
      </c>
      <c r="AW12" s="15">
        <f>COUNTIF(M12:AQ12,"H")</f>
        <v>0</v>
      </c>
      <c r="AX12" s="15">
        <f t="shared" si="9"/>
        <v>0</v>
      </c>
      <c r="AY12" s="15"/>
      <c r="AZ12" s="15">
        <f t="shared" si="10"/>
        <v>0</v>
      </c>
      <c r="BA12" s="15">
        <f t="shared" si="11"/>
        <v>0</v>
      </c>
      <c r="BB12" s="15">
        <f t="shared" si="12"/>
        <v>0</v>
      </c>
      <c r="BC12" s="15">
        <f t="shared" si="13"/>
        <v>0</v>
      </c>
      <c r="BD12" s="37">
        <f t="shared" si="14"/>
        <v>0</v>
      </c>
      <c r="BE12" s="15">
        <f t="shared" si="15"/>
        <v>0</v>
      </c>
      <c r="BF12" s="15">
        <f t="shared" si="16"/>
        <v>0</v>
      </c>
      <c r="BG12" s="41">
        <f t="shared" si="17"/>
        <v>0</v>
      </c>
      <c r="BH12" s="37">
        <f t="shared" si="18"/>
        <v>0</v>
      </c>
      <c r="BI12" s="1"/>
      <c r="BJ12" s="15"/>
      <c r="BK12" s="15">
        <f t="shared" si="19"/>
        <v>0</v>
      </c>
      <c r="BL12" s="37">
        <f t="shared" si="20"/>
        <v>0</v>
      </c>
      <c r="BM12" s="15"/>
      <c r="BN12" s="15"/>
    </row>
    <row r="13" spans="1:66" x14ac:dyDescent="0.25">
      <c r="A13" s="30" t="str">
        <f>$A$6&amp;IF(B13="","",COUNTA($B$9:B13)+100)</f>
        <v>SK-</v>
      </c>
      <c r="B13" s="15"/>
      <c r="C13" s="15"/>
      <c r="D13" s="15"/>
      <c r="E13" s="15"/>
      <c r="F13" s="15"/>
      <c r="G13" s="16"/>
      <c r="H13" s="16"/>
      <c r="I13" s="17"/>
      <c r="J13" s="17"/>
      <c r="K13" s="12" t="str">
        <f t="shared" si="2"/>
        <v xml:space="preserve"> </v>
      </c>
      <c r="L13" s="1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5">
        <f t="shared" si="3"/>
        <v>0</v>
      </c>
      <c r="AS13" s="15">
        <f t="shared" si="4"/>
        <v>0</v>
      </c>
      <c r="AT13" s="15">
        <f t="shared" si="5"/>
        <v>0</v>
      </c>
      <c r="AU13" s="15">
        <f t="shared" si="6"/>
        <v>0</v>
      </c>
      <c r="AV13" s="15">
        <f t="shared" si="7"/>
        <v>0</v>
      </c>
      <c r="AW13" s="15">
        <f t="shared" si="8"/>
        <v>0</v>
      </c>
      <c r="AX13" s="15">
        <f t="shared" si="9"/>
        <v>0</v>
      </c>
      <c r="AY13" s="15"/>
      <c r="AZ13" s="15">
        <f t="shared" si="10"/>
        <v>0</v>
      </c>
      <c r="BA13" s="15">
        <f t="shared" si="11"/>
        <v>0</v>
      </c>
      <c r="BB13" s="15">
        <f t="shared" si="12"/>
        <v>0</v>
      </c>
      <c r="BC13" s="15">
        <f t="shared" si="13"/>
        <v>0</v>
      </c>
      <c r="BD13" s="37">
        <f t="shared" si="14"/>
        <v>0</v>
      </c>
      <c r="BE13" s="15">
        <f t="shared" si="15"/>
        <v>0</v>
      </c>
      <c r="BF13" s="15">
        <f t="shared" si="16"/>
        <v>0</v>
      </c>
      <c r="BG13" s="41">
        <f t="shared" si="17"/>
        <v>0</v>
      </c>
      <c r="BH13" s="37">
        <f t="shared" si="18"/>
        <v>0</v>
      </c>
      <c r="BI13" s="1"/>
      <c r="BJ13" s="15"/>
      <c r="BK13" s="15">
        <f t="shared" si="19"/>
        <v>0</v>
      </c>
      <c r="BL13" s="37">
        <f t="shared" si="20"/>
        <v>0</v>
      </c>
      <c r="BM13" s="15"/>
      <c r="BN13" s="15"/>
    </row>
    <row r="14" spans="1:66" x14ac:dyDescent="0.25">
      <c r="A14" s="30" t="str">
        <f>$A$6&amp;IF(B14="","",COUNTA($B$9:B14)+100)</f>
        <v>SK-</v>
      </c>
      <c r="B14" s="15"/>
      <c r="C14" s="15"/>
      <c r="D14" s="15"/>
      <c r="E14" s="15"/>
      <c r="F14" s="15"/>
      <c r="G14" s="16"/>
      <c r="H14" s="16"/>
      <c r="I14" s="17"/>
      <c r="J14" s="15"/>
      <c r="K14" s="12" t="str">
        <f t="shared" si="2"/>
        <v xml:space="preserve"> </v>
      </c>
      <c r="L14" s="1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5">
        <f t="shared" si="3"/>
        <v>0</v>
      </c>
      <c r="AS14" s="15">
        <f t="shared" si="4"/>
        <v>0</v>
      </c>
      <c r="AT14" s="15">
        <f t="shared" si="5"/>
        <v>0</v>
      </c>
      <c r="AU14" s="15">
        <f t="shared" si="6"/>
        <v>0</v>
      </c>
      <c r="AV14" s="15">
        <f t="shared" si="7"/>
        <v>0</v>
      </c>
      <c r="AW14" s="15">
        <f t="shared" si="8"/>
        <v>0</v>
      </c>
      <c r="AX14" s="15">
        <f t="shared" si="9"/>
        <v>0</v>
      </c>
      <c r="AY14" s="15"/>
      <c r="AZ14" s="15">
        <f t="shared" si="10"/>
        <v>0</v>
      </c>
      <c r="BA14" s="15">
        <f t="shared" si="11"/>
        <v>0</v>
      </c>
      <c r="BB14" s="15">
        <f t="shared" si="12"/>
        <v>0</v>
      </c>
      <c r="BC14" s="15">
        <f t="shared" si="13"/>
        <v>0</v>
      </c>
      <c r="BD14" s="37">
        <f t="shared" si="14"/>
        <v>0</v>
      </c>
      <c r="BE14" s="15">
        <f t="shared" si="15"/>
        <v>0</v>
      </c>
      <c r="BF14" s="15">
        <f t="shared" si="16"/>
        <v>0</v>
      </c>
      <c r="BG14" s="41">
        <f t="shared" si="17"/>
        <v>0</v>
      </c>
      <c r="BH14" s="37">
        <f t="shared" si="18"/>
        <v>0</v>
      </c>
      <c r="BI14" s="1"/>
      <c r="BJ14" s="15"/>
      <c r="BK14" s="15">
        <f t="shared" si="19"/>
        <v>0</v>
      </c>
      <c r="BL14" s="37">
        <f t="shared" si="20"/>
        <v>0</v>
      </c>
      <c r="BM14" s="15"/>
      <c r="BN14" s="15"/>
    </row>
    <row r="15" spans="1:66" x14ac:dyDescent="0.25">
      <c r="A15" s="30" t="str">
        <f>$A$6&amp;IF(B15="","",COUNTA($B$9:B15)+100)</f>
        <v>SK-</v>
      </c>
      <c r="B15" s="15"/>
      <c r="C15" s="15"/>
      <c r="D15" s="15"/>
      <c r="E15" s="15"/>
      <c r="F15" s="15"/>
      <c r="G15" s="16"/>
      <c r="H15" s="16"/>
      <c r="I15" s="17"/>
      <c r="J15" s="15"/>
      <c r="K15" s="12" t="str">
        <f t="shared" si="2"/>
        <v xml:space="preserve"> </v>
      </c>
      <c r="L15" s="1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5">
        <f t="shared" si="3"/>
        <v>0</v>
      </c>
      <c r="AS15" s="15">
        <f t="shared" si="4"/>
        <v>0</v>
      </c>
      <c r="AT15" s="15">
        <f t="shared" si="5"/>
        <v>0</v>
      </c>
      <c r="AU15" s="15">
        <f t="shared" si="6"/>
        <v>0</v>
      </c>
      <c r="AV15" s="15">
        <f t="shared" si="7"/>
        <v>0</v>
      </c>
      <c r="AW15" s="15">
        <f t="shared" si="8"/>
        <v>0</v>
      </c>
      <c r="AX15" s="15">
        <f t="shared" si="9"/>
        <v>0</v>
      </c>
      <c r="AY15" s="15"/>
      <c r="AZ15" s="15">
        <f t="shared" si="10"/>
        <v>0</v>
      </c>
      <c r="BA15" s="15">
        <f t="shared" si="11"/>
        <v>0</v>
      </c>
      <c r="BB15" s="15">
        <f t="shared" si="12"/>
        <v>0</v>
      </c>
      <c r="BC15" s="15">
        <f t="shared" si="13"/>
        <v>0</v>
      </c>
      <c r="BD15" s="37">
        <f t="shared" si="14"/>
        <v>0</v>
      </c>
      <c r="BE15" s="15">
        <f t="shared" si="15"/>
        <v>0</v>
      </c>
      <c r="BF15" s="15">
        <f t="shared" si="16"/>
        <v>0</v>
      </c>
      <c r="BG15" s="41">
        <f t="shared" si="17"/>
        <v>0</v>
      </c>
      <c r="BH15" s="37">
        <f t="shared" si="18"/>
        <v>0</v>
      </c>
      <c r="BI15" s="1"/>
      <c r="BJ15" s="15"/>
      <c r="BK15" s="15">
        <f t="shared" si="19"/>
        <v>0</v>
      </c>
      <c r="BL15" s="37">
        <f t="shared" si="20"/>
        <v>0</v>
      </c>
      <c r="BM15" s="15"/>
      <c r="BN15" s="15"/>
    </row>
    <row r="16" spans="1:66" x14ac:dyDescent="0.25">
      <c r="A16" s="30" t="str">
        <f>$A$6&amp;IF(B16="","",COUNTA($B$9:B16)+100)</f>
        <v>SK-</v>
      </c>
      <c r="B16" s="15"/>
      <c r="C16" s="15"/>
      <c r="D16" s="15"/>
      <c r="E16" s="15"/>
      <c r="F16" s="15"/>
      <c r="G16" s="16"/>
      <c r="H16" s="16"/>
      <c r="I16" s="17"/>
      <c r="J16" s="15"/>
      <c r="K16" s="12" t="str">
        <f t="shared" si="2"/>
        <v xml:space="preserve"> </v>
      </c>
      <c r="L16" s="1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5">
        <f t="shared" si="3"/>
        <v>0</v>
      </c>
      <c r="AS16" s="15">
        <f t="shared" si="4"/>
        <v>0</v>
      </c>
      <c r="AT16" s="15">
        <f t="shared" si="5"/>
        <v>0</v>
      </c>
      <c r="AU16" s="15">
        <f t="shared" si="6"/>
        <v>0</v>
      </c>
      <c r="AV16" s="15">
        <f t="shared" si="7"/>
        <v>0</v>
      </c>
      <c r="AW16" s="15">
        <f t="shared" si="8"/>
        <v>0</v>
      </c>
      <c r="AX16" s="15">
        <f t="shared" si="9"/>
        <v>0</v>
      </c>
      <c r="AY16" s="15"/>
      <c r="AZ16" s="15">
        <f t="shared" si="10"/>
        <v>0</v>
      </c>
      <c r="BA16" s="15">
        <f t="shared" si="11"/>
        <v>0</v>
      </c>
      <c r="BB16" s="15">
        <f t="shared" si="12"/>
        <v>0</v>
      </c>
      <c r="BC16" s="15">
        <f t="shared" si="13"/>
        <v>0</v>
      </c>
      <c r="BD16" s="37">
        <f t="shared" si="14"/>
        <v>0</v>
      </c>
      <c r="BE16" s="15">
        <f t="shared" si="15"/>
        <v>0</v>
      </c>
      <c r="BF16" s="15">
        <f t="shared" si="16"/>
        <v>0</v>
      </c>
      <c r="BG16" s="41">
        <f t="shared" si="17"/>
        <v>0</v>
      </c>
      <c r="BH16" s="37">
        <f t="shared" si="18"/>
        <v>0</v>
      </c>
      <c r="BI16" s="1"/>
      <c r="BJ16" s="15"/>
      <c r="BK16" s="15">
        <f t="shared" si="19"/>
        <v>0</v>
      </c>
      <c r="BL16" s="37">
        <f t="shared" si="20"/>
        <v>0</v>
      </c>
      <c r="BM16" s="15"/>
      <c r="BN16" s="15"/>
    </row>
    <row r="17" spans="1:66" x14ac:dyDescent="0.25">
      <c r="A17" s="30" t="str">
        <f>$A$6&amp;IF(B17="","",COUNTA($B$9:B17)+100)</f>
        <v>SK-</v>
      </c>
      <c r="B17" s="15"/>
      <c r="C17" s="15"/>
      <c r="D17" s="15"/>
      <c r="E17" s="15"/>
      <c r="F17" s="15"/>
      <c r="G17" s="16"/>
      <c r="H17" s="16"/>
      <c r="I17" s="17"/>
      <c r="J17" s="15"/>
      <c r="K17" s="12" t="str">
        <f t="shared" si="2"/>
        <v xml:space="preserve"> </v>
      </c>
      <c r="L17" s="1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5">
        <f t="shared" si="3"/>
        <v>0</v>
      </c>
      <c r="AS17" s="15">
        <f t="shared" si="4"/>
        <v>0</v>
      </c>
      <c r="AT17" s="15">
        <f t="shared" si="5"/>
        <v>0</v>
      </c>
      <c r="AU17" s="15">
        <f t="shared" si="6"/>
        <v>0</v>
      </c>
      <c r="AV17" s="15">
        <f t="shared" si="7"/>
        <v>0</v>
      </c>
      <c r="AW17" s="15">
        <f t="shared" si="8"/>
        <v>0</v>
      </c>
      <c r="AX17" s="15">
        <f t="shared" si="9"/>
        <v>0</v>
      </c>
      <c r="AY17" s="15"/>
      <c r="AZ17" s="15">
        <f t="shared" si="10"/>
        <v>0</v>
      </c>
      <c r="BA17" s="15">
        <f t="shared" si="11"/>
        <v>0</v>
      </c>
      <c r="BB17" s="15">
        <f t="shared" si="12"/>
        <v>0</v>
      </c>
      <c r="BC17" s="15">
        <f t="shared" si="13"/>
        <v>0</v>
      </c>
      <c r="BD17" s="37">
        <f t="shared" si="14"/>
        <v>0</v>
      </c>
      <c r="BE17" s="15">
        <f t="shared" si="15"/>
        <v>0</v>
      </c>
      <c r="BF17" s="15">
        <f t="shared" si="16"/>
        <v>0</v>
      </c>
      <c r="BG17" s="41">
        <f t="shared" si="17"/>
        <v>0</v>
      </c>
      <c r="BH17" s="37">
        <f t="shared" si="18"/>
        <v>0</v>
      </c>
      <c r="BI17" s="1"/>
      <c r="BJ17" s="15"/>
      <c r="BK17" s="15">
        <f t="shared" si="19"/>
        <v>0</v>
      </c>
      <c r="BL17" s="37">
        <f t="shared" si="20"/>
        <v>0</v>
      </c>
      <c r="BM17" s="15"/>
      <c r="BN17" s="15"/>
    </row>
    <row r="18" spans="1:66" x14ac:dyDescent="0.25">
      <c r="A18" s="30" t="str">
        <f>$A$6&amp;IF(B18="","",COUNTA($B$9:B18)+100)</f>
        <v>SK-</v>
      </c>
      <c r="B18" s="15"/>
      <c r="C18" s="15"/>
      <c r="D18" s="15"/>
      <c r="E18" s="15"/>
      <c r="F18" s="15"/>
      <c r="G18" s="16"/>
      <c r="H18" s="16"/>
      <c r="I18" s="17"/>
      <c r="J18" s="15"/>
      <c r="K18" s="12" t="str">
        <f t="shared" si="2"/>
        <v xml:space="preserve"> </v>
      </c>
      <c r="L18" s="1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5">
        <f t="shared" si="3"/>
        <v>0</v>
      </c>
      <c r="AS18" s="15">
        <f t="shared" si="4"/>
        <v>0</v>
      </c>
      <c r="AT18" s="15">
        <f t="shared" si="5"/>
        <v>0</v>
      </c>
      <c r="AU18" s="15">
        <f t="shared" si="6"/>
        <v>0</v>
      </c>
      <c r="AV18" s="15">
        <f t="shared" si="7"/>
        <v>0</v>
      </c>
      <c r="AW18" s="15">
        <f t="shared" si="8"/>
        <v>0</v>
      </c>
      <c r="AX18" s="15">
        <f t="shared" si="9"/>
        <v>0</v>
      </c>
      <c r="AY18" s="15"/>
      <c r="AZ18" s="15">
        <f t="shared" si="10"/>
        <v>0</v>
      </c>
      <c r="BA18" s="15">
        <f t="shared" si="11"/>
        <v>0</v>
      </c>
      <c r="BB18" s="15">
        <f t="shared" si="12"/>
        <v>0</v>
      </c>
      <c r="BC18" s="15">
        <f t="shared" si="13"/>
        <v>0</v>
      </c>
      <c r="BD18" s="37">
        <f t="shared" si="14"/>
        <v>0</v>
      </c>
      <c r="BE18" s="15">
        <f t="shared" si="15"/>
        <v>0</v>
      </c>
      <c r="BF18" s="15">
        <f t="shared" si="16"/>
        <v>0</v>
      </c>
      <c r="BG18" s="41">
        <f t="shared" si="17"/>
        <v>0</v>
      </c>
      <c r="BH18" s="37">
        <f t="shared" si="18"/>
        <v>0</v>
      </c>
      <c r="BI18" s="1"/>
      <c r="BJ18" s="15"/>
      <c r="BK18" s="15">
        <f t="shared" si="19"/>
        <v>0</v>
      </c>
      <c r="BL18" s="37">
        <f t="shared" si="20"/>
        <v>0</v>
      </c>
      <c r="BM18" s="15"/>
      <c r="BN18" s="15"/>
    </row>
    <row r="19" spans="1:66" x14ac:dyDescent="0.25">
      <c r="A19" s="30" t="str">
        <f>$A$6&amp;IF(B19="","",COUNTA($B$9:B19)+100)</f>
        <v>SK-</v>
      </c>
      <c r="B19" s="15"/>
      <c r="C19" s="15"/>
      <c r="D19" s="15"/>
      <c r="E19" s="15"/>
      <c r="F19" s="15"/>
      <c r="G19" s="16"/>
      <c r="H19" s="16"/>
      <c r="I19" s="17"/>
      <c r="J19" s="15"/>
      <c r="K19" s="12" t="str">
        <f t="shared" si="2"/>
        <v xml:space="preserve"> </v>
      </c>
      <c r="L19" s="1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5">
        <f t="shared" si="3"/>
        <v>0</v>
      </c>
      <c r="AS19" s="15">
        <f t="shared" si="4"/>
        <v>0</v>
      </c>
      <c r="AT19" s="15">
        <f t="shared" si="5"/>
        <v>0</v>
      </c>
      <c r="AU19" s="15">
        <f t="shared" si="6"/>
        <v>0</v>
      </c>
      <c r="AV19" s="15">
        <f t="shared" si="7"/>
        <v>0</v>
      </c>
      <c r="AW19" s="15">
        <f t="shared" si="8"/>
        <v>0</v>
      </c>
      <c r="AX19" s="15">
        <f t="shared" si="9"/>
        <v>0</v>
      </c>
      <c r="AY19" s="15"/>
      <c r="AZ19" s="15">
        <f t="shared" si="10"/>
        <v>0</v>
      </c>
      <c r="BA19" s="15">
        <f t="shared" si="11"/>
        <v>0</v>
      </c>
      <c r="BB19" s="15">
        <f t="shared" si="12"/>
        <v>0</v>
      </c>
      <c r="BC19" s="15">
        <f t="shared" si="13"/>
        <v>0</v>
      </c>
      <c r="BD19" s="37">
        <f t="shared" si="14"/>
        <v>0</v>
      </c>
      <c r="BE19" s="15">
        <f t="shared" si="15"/>
        <v>0</v>
      </c>
      <c r="BF19" s="15">
        <f t="shared" si="16"/>
        <v>0</v>
      </c>
      <c r="BG19" s="41">
        <f t="shared" si="17"/>
        <v>0</v>
      </c>
      <c r="BH19" s="37">
        <f t="shared" si="18"/>
        <v>0</v>
      </c>
      <c r="BI19" s="1"/>
      <c r="BJ19" s="15"/>
      <c r="BK19" s="15">
        <f t="shared" si="19"/>
        <v>0</v>
      </c>
      <c r="BL19" s="37">
        <f t="shared" si="20"/>
        <v>0</v>
      </c>
      <c r="BM19" s="15"/>
      <c r="BN19" s="15"/>
    </row>
    <row r="20" spans="1:66" x14ac:dyDescent="0.25">
      <c r="A20" s="30" t="str">
        <f>$A$6&amp;IF(B20="","",COUNTA($B$9:B20)+100)</f>
        <v>SK-</v>
      </c>
      <c r="B20" s="15"/>
      <c r="C20" s="15"/>
      <c r="D20" s="15"/>
      <c r="E20" s="15"/>
      <c r="F20" s="15"/>
      <c r="G20" s="16"/>
      <c r="H20" s="16"/>
      <c r="I20" s="17"/>
      <c r="J20" s="15"/>
      <c r="K20" s="12" t="str">
        <f t="shared" si="2"/>
        <v xml:space="preserve"> </v>
      </c>
      <c r="L20" s="1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5">
        <f t="shared" si="3"/>
        <v>0</v>
      </c>
      <c r="AS20" s="15">
        <f t="shared" si="4"/>
        <v>0</v>
      </c>
      <c r="AT20" s="15">
        <f t="shared" si="5"/>
        <v>0</v>
      </c>
      <c r="AU20" s="15">
        <f t="shared" si="6"/>
        <v>0</v>
      </c>
      <c r="AV20" s="15">
        <f t="shared" si="7"/>
        <v>0</v>
      </c>
      <c r="AW20" s="15">
        <f t="shared" si="8"/>
        <v>0</v>
      </c>
      <c r="AX20" s="15">
        <f t="shared" si="9"/>
        <v>0</v>
      </c>
      <c r="AY20" s="15"/>
      <c r="AZ20" s="15">
        <f t="shared" si="10"/>
        <v>0</v>
      </c>
      <c r="BA20" s="15">
        <f t="shared" si="11"/>
        <v>0</v>
      </c>
      <c r="BB20" s="15">
        <f t="shared" si="12"/>
        <v>0</v>
      </c>
      <c r="BC20" s="15">
        <f t="shared" si="13"/>
        <v>0</v>
      </c>
      <c r="BD20" s="37">
        <f t="shared" si="14"/>
        <v>0</v>
      </c>
      <c r="BE20" s="15">
        <f t="shared" si="15"/>
        <v>0</v>
      </c>
      <c r="BF20" s="15">
        <f t="shared" si="16"/>
        <v>0</v>
      </c>
      <c r="BG20" s="41">
        <f t="shared" si="17"/>
        <v>0</v>
      </c>
      <c r="BH20" s="37">
        <f t="shared" si="18"/>
        <v>0</v>
      </c>
      <c r="BI20" s="1"/>
      <c r="BJ20" s="15"/>
      <c r="BK20" s="15">
        <f t="shared" si="19"/>
        <v>0</v>
      </c>
      <c r="BL20" s="37">
        <f t="shared" si="20"/>
        <v>0</v>
      </c>
      <c r="BM20" s="15"/>
      <c r="BN20" s="15"/>
    </row>
    <row r="21" spans="1:66" x14ac:dyDescent="0.25">
      <c r="A21" s="30" t="str">
        <f>$A$6&amp;IF(B21="","",COUNTA($B$9:B21)+100)</f>
        <v>SK-</v>
      </c>
      <c r="B21" s="15"/>
      <c r="C21" s="15"/>
      <c r="D21" s="15"/>
      <c r="E21" s="15"/>
      <c r="F21" s="15"/>
      <c r="G21" s="16"/>
      <c r="H21" s="16"/>
      <c r="I21" s="17"/>
      <c r="J21" s="15"/>
      <c r="K21" s="12" t="str">
        <f t="shared" si="2"/>
        <v xml:space="preserve"> </v>
      </c>
      <c r="L21" s="1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5">
        <f t="shared" si="3"/>
        <v>0</v>
      </c>
      <c r="AS21" s="15">
        <f t="shared" si="4"/>
        <v>0</v>
      </c>
      <c r="AT21" s="15">
        <f t="shared" si="5"/>
        <v>0</v>
      </c>
      <c r="AU21" s="15">
        <f t="shared" si="6"/>
        <v>0</v>
      </c>
      <c r="AV21" s="15">
        <f t="shared" si="7"/>
        <v>0</v>
      </c>
      <c r="AW21" s="15">
        <f t="shared" si="8"/>
        <v>0</v>
      </c>
      <c r="AX21" s="15">
        <f t="shared" si="9"/>
        <v>0</v>
      </c>
      <c r="AY21" s="15"/>
      <c r="AZ21" s="15">
        <f t="shared" si="10"/>
        <v>0</v>
      </c>
      <c r="BA21" s="15">
        <f t="shared" si="11"/>
        <v>0</v>
      </c>
      <c r="BB21" s="15">
        <f t="shared" si="12"/>
        <v>0</v>
      </c>
      <c r="BC21" s="15">
        <f t="shared" si="13"/>
        <v>0</v>
      </c>
      <c r="BD21" s="37">
        <f t="shared" si="14"/>
        <v>0</v>
      </c>
      <c r="BE21" s="15">
        <f t="shared" si="15"/>
        <v>0</v>
      </c>
      <c r="BF21" s="15">
        <f t="shared" si="16"/>
        <v>0</v>
      </c>
      <c r="BG21" s="41">
        <f t="shared" si="17"/>
        <v>0</v>
      </c>
      <c r="BH21" s="37">
        <f t="shared" si="18"/>
        <v>0</v>
      </c>
      <c r="BI21" s="1"/>
      <c r="BJ21" s="15"/>
      <c r="BK21" s="15">
        <f t="shared" si="19"/>
        <v>0</v>
      </c>
      <c r="BL21" s="37">
        <f t="shared" si="20"/>
        <v>0</v>
      </c>
      <c r="BM21" s="15"/>
      <c r="BN21" s="15"/>
    </row>
  </sheetData>
  <mergeCells count="3">
    <mergeCell ref="A1:AR2"/>
    <mergeCell ref="AZ6:BB6"/>
    <mergeCell ref="BE6:BG6"/>
  </mergeCells>
  <conditionalFormatting sqref="A9:A21">
    <cfRule type="expression" dxfId="12" priority="9">
      <formula>A9="SK-"</formula>
    </cfRule>
  </conditionalFormatting>
  <conditionalFormatting sqref="K9:K21">
    <cfRule type="expression" dxfId="11" priority="10">
      <formula>K9:K21="Emp. Resign this Company"</formula>
    </cfRule>
  </conditionalFormatting>
  <conditionalFormatting sqref="M9:AQ21">
    <cfRule type="expression" dxfId="10" priority="5">
      <formula>M9="P"</formula>
    </cfRule>
    <cfRule type="expression" dxfId="9" priority="6">
      <formula>M9="L"</formula>
    </cfRule>
    <cfRule type="expression" dxfId="8" priority="7">
      <formula>M9="H"</formula>
    </cfRule>
    <cfRule type="expression" dxfId="7" priority="8">
      <formula>M9="A"</formula>
    </cfRule>
    <cfRule type="expression" dxfId="6" priority="13">
      <formula>M$7="sun"</formula>
    </cfRule>
  </conditionalFormatting>
  <conditionalFormatting sqref="AO8">
    <cfRule type="expression" dxfId="5" priority="12">
      <formula>$AO$8=DATEVLUE(1/29/2024)</formula>
    </cfRule>
  </conditionalFormatting>
  <conditionalFormatting sqref="AP8">
    <cfRule type="expression" dxfId="4" priority="11">
      <formula>$AP$8=DATEVALUE("2/30/2024")</formula>
    </cfRule>
  </conditionalFormatting>
  <conditionalFormatting sqref="AR9:BL21">
    <cfRule type="expression" dxfId="3" priority="4">
      <formula>AR9=0</formula>
    </cfRule>
  </conditionalFormatting>
  <conditionalFormatting sqref="BM9:BN21">
    <cfRule type="expression" dxfId="2" priority="1">
      <formula>$BN9="Process"</formula>
    </cfRule>
    <cfRule type="expression" dxfId="1" priority="2">
      <formula>$BN9="Pending"</formula>
    </cfRule>
    <cfRule type="expression" dxfId="0" priority="3">
      <formula>$BN9="done"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'data sheet'!$D$2:$D$4</xm:f>
          </x14:formula1>
          <xm:sqref>BN9:BN21</xm:sqref>
        </x14:dataValidation>
        <x14:dataValidation type="list" allowBlank="1" showInputMessage="1" showErrorMessage="1">
          <x14:formula1>
            <xm:f>'data sheet'!$Q$1:$Q$12</xm:f>
          </x14:formula1>
          <xm:sqref>L5</xm:sqref>
        </x14:dataValidation>
        <x14:dataValidation type="list" allowBlank="1" showInputMessage="1" showErrorMessage="1">
          <x14:formula1>
            <xm:f>'data sheet'!$P$1:$P$99</xm:f>
          </x14:formula1>
          <xm:sqref>M5</xm:sqref>
        </x14:dataValidation>
        <x14:dataValidation type="list" allowBlank="1" showInputMessage="1" showErrorMessage="1">
          <x14:formula1>
            <xm:f>'data sheet'!$C$2:$C$9</xm:f>
          </x14:formula1>
          <xm:sqref>D9:D21</xm:sqref>
        </x14:dataValidation>
        <x14:dataValidation type="list" allowBlank="1" showInputMessage="1" showErrorMessage="1">
          <x14:formula1>
            <xm:f>'data sheet'!$B$2:$B$6</xm:f>
          </x14:formula1>
          <xm:sqref>C9:C21</xm:sqref>
        </x14:dataValidation>
        <x14:dataValidation type="list" allowBlank="1" showInputMessage="1" showErrorMessage="1">
          <x14:formula1>
            <xm:f>'data sheet'!$A$2:$A$14</xm:f>
          </x14:formula1>
          <xm:sqref>B9:B21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"/>
  <sheetViews>
    <sheetView workbookViewId="0">
      <selection activeCell="F8" sqref="F8"/>
    </sheetView>
  </sheetViews>
  <sheetFormatPr defaultRowHeight="15" x14ac:dyDescent="0.25"/>
  <cols>
    <col min="1" max="1" width="11.140625" bestFit="1" customWidth="1"/>
    <col min="2" max="2" width="11" customWidth="1"/>
    <col min="3" max="3" width="19.28515625" bestFit="1" customWidth="1"/>
    <col min="5" max="5" width="29.42578125" bestFit="1" customWidth="1"/>
  </cols>
  <sheetData>
    <row r="1" spans="1:17" x14ac:dyDescent="0.25">
      <c r="A1" s="14" t="s">
        <v>17</v>
      </c>
      <c r="B1" s="14" t="s">
        <v>58</v>
      </c>
      <c r="C1" s="14" t="s">
        <v>59</v>
      </c>
      <c r="D1" s="43" t="s">
        <v>91</v>
      </c>
      <c r="E1" s="43"/>
      <c r="I1" t="s">
        <v>73</v>
      </c>
      <c r="J1" t="s">
        <v>88</v>
      </c>
      <c r="K1">
        <f>MIN((J2-I2)*24)</f>
        <v>11</v>
      </c>
      <c r="O1" t="s">
        <v>21</v>
      </c>
      <c r="P1">
        <v>2001</v>
      </c>
      <c r="Q1" t="s">
        <v>2</v>
      </c>
    </row>
    <row r="2" spans="1:17" x14ac:dyDescent="0.25">
      <c r="A2" s="15" t="s">
        <v>19</v>
      </c>
      <c r="B2" s="1" t="s">
        <v>72</v>
      </c>
      <c r="C2" s="1" t="s">
        <v>77</v>
      </c>
      <c r="D2" s="1" t="s">
        <v>92</v>
      </c>
      <c r="E2" s="47"/>
      <c r="I2" s="33">
        <v>0.41666666666666669</v>
      </c>
      <c r="J2" s="33">
        <v>0.875</v>
      </c>
      <c r="K2">
        <f>MIN((J2-I2)*24,8)</f>
        <v>8</v>
      </c>
      <c r="O2" t="s">
        <v>22</v>
      </c>
      <c r="P2">
        <v>2002</v>
      </c>
      <c r="Q2" t="s">
        <v>3</v>
      </c>
    </row>
    <row r="3" spans="1:17" x14ac:dyDescent="0.25">
      <c r="A3" s="15" t="s">
        <v>26</v>
      </c>
      <c r="B3" s="1" t="s">
        <v>74</v>
      </c>
      <c r="C3" s="1" t="s">
        <v>78</v>
      </c>
      <c r="D3" s="1" t="s">
        <v>93</v>
      </c>
      <c r="E3" s="47"/>
      <c r="K3">
        <f>MAX((J2-I2)*24-8,0)</f>
        <v>3</v>
      </c>
      <c r="O3" t="s">
        <v>23</v>
      </c>
      <c r="P3">
        <v>2003</v>
      </c>
      <c r="Q3" t="s">
        <v>4</v>
      </c>
    </row>
    <row r="4" spans="1:17" x14ac:dyDescent="0.25">
      <c r="A4" s="15" t="s">
        <v>27</v>
      </c>
      <c r="B4" s="1" t="s">
        <v>75</v>
      </c>
      <c r="C4" s="1" t="s">
        <v>79</v>
      </c>
      <c r="D4" s="1" t="s">
        <v>94</v>
      </c>
      <c r="E4" s="47"/>
      <c r="O4" t="s">
        <v>24</v>
      </c>
      <c r="P4">
        <v>2004</v>
      </c>
      <c r="Q4" t="s">
        <v>5</v>
      </c>
    </row>
    <row r="5" spans="1:17" x14ac:dyDescent="0.25">
      <c r="A5" s="15" t="s">
        <v>28</v>
      </c>
      <c r="B5" s="1" t="s">
        <v>76</v>
      </c>
      <c r="C5" s="1" t="s">
        <v>80</v>
      </c>
      <c r="D5" s="1"/>
      <c r="E5" s="47"/>
      <c r="O5" t="s">
        <v>66</v>
      </c>
      <c r="P5">
        <v>2005</v>
      </c>
      <c r="Q5" t="s">
        <v>6</v>
      </c>
    </row>
    <row r="6" spans="1:17" x14ac:dyDescent="0.25">
      <c r="A6" s="15" t="s">
        <v>29</v>
      </c>
      <c r="B6" s="1" t="s">
        <v>82</v>
      </c>
      <c r="C6" s="1" t="s">
        <v>81</v>
      </c>
      <c r="D6" s="1"/>
      <c r="E6" s="47"/>
      <c r="I6" s="11" t="s">
        <v>90</v>
      </c>
      <c r="P6">
        <v>2006</v>
      </c>
      <c r="Q6" t="s">
        <v>7</v>
      </c>
    </row>
    <row r="7" spans="1:17" x14ac:dyDescent="0.25">
      <c r="A7" s="15" t="s">
        <v>30</v>
      </c>
      <c r="B7" s="1"/>
      <c r="C7" s="1" t="s">
        <v>83</v>
      </c>
      <c r="D7" s="1"/>
      <c r="E7" s="47"/>
      <c r="P7">
        <v>2007</v>
      </c>
      <c r="Q7" t="s">
        <v>8</v>
      </c>
    </row>
    <row r="8" spans="1:17" x14ac:dyDescent="0.25">
      <c r="A8" s="15" t="s">
        <v>31</v>
      </c>
      <c r="B8" s="1"/>
      <c r="C8" s="1" t="s">
        <v>84</v>
      </c>
      <c r="D8" s="1"/>
      <c r="E8" s="47"/>
      <c r="F8" t="s">
        <v>96</v>
      </c>
      <c r="P8">
        <v>2008</v>
      </c>
      <c r="Q8" t="s">
        <v>9</v>
      </c>
    </row>
    <row r="9" spans="1:17" x14ac:dyDescent="0.25">
      <c r="A9" s="15" t="s">
        <v>32</v>
      </c>
      <c r="B9" s="1"/>
      <c r="C9" s="1" t="s">
        <v>85</v>
      </c>
      <c r="D9" s="1"/>
      <c r="E9" s="47"/>
      <c r="P9">
        <v>2009</v>
      </c>
      <c r="Q9" t="s">
        <v>10</v>
      </c>
    </row>
    <row r="10" spans="1:17" x14ac:dyDescent="0.25">
      <c r="A10" s="15" t="s">
        <v>33</v>
      </c>
      <c r="B10" s="1"/>
      <c r="C10" s="1"/>
      <c r="D10" s="1"/>
      <c r="E10" s="47"/>
      <c r="P10">
        <v>2010</v>
      </c>
      <c r="Q10" t="s">
        <v>11</v>
      </c>
    </row>
    <row r="11" spans="1:17" x14ac:dyDescent="0.25">
      <c r="A11" s="15" t="s">
        <v>34</v>
      </c>
      <c r="B11" s="1"/>
      <c r="C11" s="1"/>
      <c r="D11" s="1"/>
      <c r="E11" s="47"/>
      <c r="P11">
        <v>2011</v>
      </c>
      <c r="Q11" t="s">
        <v>12</v>
      </c>
    </row>
    <row r="12" spans="1:17" x14ac:dyDescent="0.25">
      <c r="A12" s="15" t="s">
        <v>35</v>
      </c>
      <c r="B12" s="1"/>
      <c r="C12" s="1"/>
      <c r="D12" s="1"/>
      <c r="E12" s="47"/>
      <c r="P12">
        <v>2012</v>
      </c>
      <c r="Q12" t="s">
        <v>13</v>
      </c>
    </row>
    <row r="13" spans="1:17" x14ac:dyDescent="0.25">
      <c r="A13" s="15" t="s">
        <v>36</v>
      </c>
      <c r="B13" s="1"/>
      <c r="C13" s="1"/>
      <c r="D13" s="1"/>
      <c r="E13" s="47"/>
      <c r="P13">
        <v>2013</v>
      </c>
    </row>
    <row r="14" spans="1:17" x14ac:dyDescent="0.25">
      <c r="A14" s="15" t="s">
        <v>37</v>
      </c>
      <c r="B14" s="1"/>
      <c r="C14" s="1"/>
      <c r="D14" s="1"/>
      <c r="E14" s="47"/>
      <c r="P14">
        <v>2014</v>
      </c>
    </row>
    <row r="15" spans="1:17" x14ac:dyDescent="0.25">
      <c r="E15" s="47"/>
      <c r="P15">
        <v>2015</v>
      </c>
    </row>
    <row r="16" spans="1:17" x14ac:dyDescent="0.25">
      <c r="E16" s="47"/>
      <c r="P16">
        <v>2016</v>
      </c>
    </row>
    <row r="17" spans="5:16" x14ac:dyDescent="0.25">
      <c r="E17" s="47"/>
      <c r="P17">
        <v>2017</v>
      </c>
    </row>
    <row r="18" spans="5:16" x14ac:dyDescent="0.25">
      <c r="E18" s="47"/>
      <c r="P18">
        <v>2018</v>
      </c>
    </row>
    <row r="19" spans="5:16" x14ac:dyDescent="0.25">
      <c r="E19" s="47"/>
      <c r="P19">
        <v>2019</v>
      </c>
    </row>
    <row r="20" spans="5:16" x14ac:dyDescent="0.25">
      <c r="E20" s="47"/>
      <c r="P20">
        <v>2020</v>
      </c>
    </row>
    <row r="21" spans="5:16" x14ac:dyDescent="0.25">
      <c r="E21" s="47"/>
      <c r="P21">
        <v>2021</v>
      </c>
    </row>
    <row r="22" spans="5:16" x14ac:dyDescent="0.25">
      <c r="E22" s="47"/>
      <c r="P22">
        <v>2022</v>
      </c>
    </row>
    <row r="23" spans="5:16" x14ac:dyDescent="0.25">
      <c r="E23" s="47"/>
      <c r="P23">
        <v>2023</v>
      </c>
    </row>
    <row r="24" spans="5:16" x14ac:dyDescent="0.25">
      <c r="E24" s="47"/>
      <c r="P24">
        <v>2024</v>
      </c>
    </row>
    <row r="25" spans="5:16" x14ac:dyDescent="0.25">
      <c r="E25" s="47"/>
      <c r="P25">
        <v>2025</v>
      </c>
    </row>
    <row r="26" spans="5:16" x14ac:dyDescent="0.25">
      <c r="E26" s="47"/>
      <c r="P26">
        <v>2026</v>
      </c>
    </row>
    <row r="27" spans="5:16" x14ac:dyDescent="0.25">
      <c r="E27" s="47"/>
      <c r="P27">
        <v>2027</v>
      </c>
    </row>
    <row r="28" spans="5:16" x14ac:dyDescent="0.25">
      <c r="E28" s="47"/>
      <c r="P28">
        <v>2028</v>
      </c>
    </row>
    <row r="29" spans="5:16" x14ac:dyDescent="0.25">
      <c r="E29" s="47"/>
      <c r="P29">
        <v>2029</v>
      </c>
    </row>
    <row r="30" spans="5:16" x14ac:dyDescent="0.25">
      <c r="E30" s="47"/>
      <c r="P30">
        <v>2030</v>
      </c>
    </row>
    <row r="31" spans="5:16" x14ac:dyDescent="0.25">
      <c r="E31" s="47"/>
      <c r="P31">
        <v>2031</v>
      </c>
    </row>
    <row r="32" spans="5:16" x14ac:dyDescent="0.25">
      <c r="E32" s="47"/>
      <c r="P32">
        <v>2032</v>
      </c>
    </row>
    <row r="33" spans="5:16" x14ac:dyDescent="0.25">
      <c r="E33" s="47"/>
      <c r="P33">
        <v>2033</v>
      </c>
    </row>
    <row r="34" spans="5:16" x14ac:dyDescent="0.25">
      <c r="E34" s="47"/>
      <c r="P34">
        <v>2034</v>
      </c>
    </row>
    <row r="35" spans="5:16" x14ac:dyDescent="0.25">
      <c r="E35" s="47"/>
      <c r="P35">
        <v>2035</v>
      </c>
    </row>
    <row r="36" spans="5:16" x14ac:dyDescent="0.25">
      <c r="P36">
        <v>2036</v>
      </c>
    </row>
    <row r="37" spans="5:16" x14ac:dyDescent="0.25">
      <c r="P37">
        <v>2037</v>
      </c>
    </row>
    <row r="38" spans="5:16" x14ac:dyDescent="0.25">
      <c r="P38">
        <v>2038</v>
      </c>
    </row>
    <row r="39" spans="5:16" x14ac:dyDescent="0.25">
      <c r="P39">
        <v>2039</v>
      </c>
    </row>
    <row r="40" spans="5:16" x14ac:dyDescent="0.25">
      <c r="P40">
        <v>2040</v>
      </c>
    </row>
    <row r="41" spans="5:16" x14ac:dyDescent="0.25">
      <c r="P41">
        <v>2041</v>
      </c>
    </row>
    <row r="42" spans="5:16" x14ac:dyDescent="0.25">
      <c r="P42">
        <v>2042</v>
      </c>
    </row>
    <row r="43" spans="5:16" x14ac:dyDescent="0.25">
      <c r="P43">
        <v>2043</v>
      </c>
    </row>
    <row r="44" spans="5:16" x14ac:dyDescent="0.25">
      <c r="P44">
        <v>2044</v>
      </c>
    </row>
    <row r="45" spans="5:16" x14ac:dyDescent="0.25">
      <c r="P45">
        <v>2045</v>
      </c>
    </row>
    <row r="46" spans="5:16" x14ac:dyDescent="0.25">
      <c r="P46">
        <v>2046</v>
      </c>
    </row>
    <row r="47" spans="5:16" x14ac:dyDescent="0.25">
      <c r="P47">
        <v>2047</v>
      </c>
    </row>
    <row r="48" spans="5:16" x14ac:dyDescent="0.25">
      <c r="P48">
        <v>2048</v>
      </c>
    </row>
    <row r="49" spans="16:16" x14ac:dyDescent="0.25">
      <c r="P49">
        <v>2049</v>
      </c>
    </row>
    <row r="50" spans="16:16" x14ac:dyDescent="0.25">
      <c r="P50">
        <v>2050</v>
      </c>
    </row>
    <row r="51" spans="16:16" x14ac:dyDescent="0.25">
      <c r="P51">
        <v>2051</v>
      </c>
    </row>
    <row r="52" spans="16:16" x14ac:dyDescent="0.25">
      <c r="P52">
        <v>2052</v>
      </c>
    </row>
    <row r="53" spans="16:16" x14ac:dyDescent="0.25">
      <c r="P53">
        <v>2053</v>
      </c>
    </row>
    <row r="54" spans="16:16" x14ac:dyDescent="0.25">
      <c r="P54">
        <v>2054</v>
      </c>
    </row>
    <row r="55" spans="16:16" x14ac:dyDescent="0.25">
      <c r="P55">
        <v>2055</v>
      </c>
    </row>
    <row r="56" spans="16:16" x14ac:dyDescent="0.25">
      <c r="P56">
        <v>2056</v>
      </c>
    </row>
    <row r="57" spans="16:16" x14ac:dyDescent="0.25">
      <c r="P57">
        <v>2057</v>
      </c>
    </row>
    <row r="58" spans="16:16" x14ac:dyDescent="0.25">
      <c r="P58">
        <v>2058</v>
      </c>
    </row>
    <row r="59" spans="16:16" x14ac:dyDescent="0.25">
      <c r="P59">
        <v>2059</v>
      </c>
    </row>
    <row r="60" spans="16:16" x14ac:dyDescent="0.25">
      <c r="P60">
        <v>2060</v>
      </c>
    </row>
    <row r="61" spans="16:16" x14ac:dyDescent="0.25">
      <c r="P61">
        <v>2061</v>
      </c>
    </row>
    <row r="62" spans="16:16" x14ac:dyDescent="0.25">
      <c r="P62">
        <v>2062</v>
      </c>
    </row>
    <row r="63" spans="16:16" x14ac:dyDescent="0.25">
      <c r="P63">
        <v>2063</v>
      </c>
    </row>
    <row r="64" spans="16:16" x14ac:dyDescent="0.25">
      <c r="P64">
        <v>2064</v>
      </c>
    </row>
    <row r="65" spans="16:16" x14ac:dyDescent="0.25">
      <c r="P65">
        <v>2065</v>
      </c>
    </row>
    <row r="66" spans="16:16" x14ac:dyDescent="0.25">
      <c r="P66">
        <v>2066</v>
      </c>
    </row>
    <row r="67" spans="16:16" x14ac:dyDescent="0.25">
      <c r="P67">
        <v>2067</v>
      </c>
    </row>
    <row r="68" spans="16:16" x14ac:dyDescent="0.25">
      <c r="P68">
        <v>2068</v>
      </c>
    </row>
    <row r="69" spans="16:16" x14ac:dyDescent="0.25">
      <c r="P69">
        <v>2069</v>
      </c>
    </row>
    <row r="70" spans="16:16" x14ac:dyDescent="0.25">
      <c r="P70">
        <v>2070</v>
      </c>
    </row>
    <row r="71" spans="16:16" x14ac:dyDescent="0.25">
      <c r="P71">
        <v>2071</v>
      </c>
    </row>
    <row r="72" spans="16:16" x14ac:dyDescent="0.25">
      <c r="P72">
        <v>2072</v>
      </c>
    </row>
    <row r="73" spans="16:16" x14ac:dyDescent="0.25">
      <c r="P73">
        <v>2073</v>
      </c>
    </row>
    <row r="74" spans="16:16" x14ac:dyDescent="0.25">
      <c r="P74">
        <v>2074</v>
      </c>
    </row>
    <row r="75" spans="16:16" x14ac:dyDescent="0.25">
      <c r="P75">
        <v>2075</v>
      </c>
    </row>
    <row r="76" spans="16:16" x14ac:dyDescent="0.25">
      <c r="P76">
        <v>2076</v>
      </c>
    </row>
    <row r="77" spans="16:16" x14ac:dyDescent="0.25">
      <c r="P77">
        <v>2077</v>
      </c>
    </row>
    <row r="78" spans="16:16" x14ac:dyDescent="0.25">
      <c r="P78">
        <v>2078</v>
      </c>
    </row>
    <row r="79" spans="16:16" x14ac:dyDescent="0.25">
      <c r="P79">
        <v>2079</v>
      </c>
    </row>
    <row r="80" spans="16:16" x14ac:dyDescent="0.25">
      <c r="P80">
        <v>2080</v>
      </c>
    </row>
    <row r="81" spans="16:16" x14ac:dyDescent="0.25">
      <c r="P81">
        <v>2081</v>
      </c>
    </row>
    <row r="82" spans="16:16" x14ac:dyDescent="0.25">
      <c r="P82">
        <v>2082</v>
      </c>
    </row>
    <row r="83" spans="16:16" x14ac:dyDescent="0.25">
      <c r="P83">
        <v>2083</v>
      </c>
    </row>
    <row r="84" spans="16:16" x14ac:dyDescent="0.25">
      <c r="P84">
        <v>2084</v>
      </c>
    </row>
    <row r="85" spans="16:16" x14ac:dyDescent="0.25">
      <c r="P85">
        <v>2085</v>
      </c>
    </row>
    <row r="86" spans="16:16" x14ac:dyDescent="0.25">
      <c r="P86">
        <v>2086</v>
      </c>
    </row>
    <row r="87" spans="16:16" x14ac:dyDescent="0.25">
      <c r="P87">
        <v>2087</v>
      </c>
    </row>
    <row r="88" spans="16:16" x14ac:dyDescent="0.25">
      <c r="P88">
        <v>2088</v>
      </c>
    </row>
    <row r="89" spans="16:16" x14ac:dyDescent="0.25">
      <c r="P89">
        <v>2089</v>
      </c>
    </row>
    <row r="90" spans="16:16" x14ac:dyDescent="0.25">
      <c r="P90">
        <v>2090</v>
      </c>
    </row>
    <row r="91" spans="16:16" x14ac:dyDescent="0.25">
      <c r="P91">
        <v>2091</v>
      </c>
    </row>
    <row r="92" spans="16:16" x14ac:dyDescent="0.25">
      <c r="P92">
        <v>2092</v>
      </c>
    </row>
    <row r="93" spans="16:16" x14ac:dyDescent="0.25">
      <c r="P93">
        <v>2093</v>
      </c>
    </row>
    <row r="94" spans="16:16" x14ac:dyDescent="0.25">
      <c r="P94">
        <v>2094</v>
      </c>
    </row>
    <row r="95" spans="16:16" x14ac:dyDescent="0.25">
      <c r="P95">
        <v>2095</v>
      </c>
    </row>
    <row r="96" spans="16:16" x14ac:dyDescent="0.25">
      <c r="P96">
        <v>2096</v>
      </c>
    </row>
    <row r="97" spans="16:16" x14ac:dyDescent="0.25">
      <c r="P97">
        <v>2097</v>
      </c>
    </row>
    <row r="98" spans="16:16" x14ac:dyDescent="0.25">
      <c r="P98">
        <v>2098</v>
      </c>
    </row>
    <row r="99" spans="16:16" x14ac:dyDescent="0.25">
      <c r="P99">
        <v>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Home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data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</dc:creator>
  <cp:lastModifiedBy>Rsatish</cp:lastModifiedBy>
  <dcterms:created xsi:type="dcterms:W3CDTF">2024-02-13T13:36:29Z</dcterms:created>
  <dcterms:modified xsi:type="dcterms:W3CDTF">2026-03-04T19:39:35Z</dcterms:modified>
</cp:coreProperties>
</file>